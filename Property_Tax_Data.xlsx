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tables/table7.xml" ContentType="application/vnd.openxmlformats-officedocument.spreadsheetml.table+xml"/>
  <Override PartName="/xl/queryTables/queryTable3.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8.xml" ContentType="application/vnd.openxmlformats-officedocument.spreadsheetml.table+xml"/>
  <Override PartName="/xl/queryTables/queryTable4.xml" ContentType="application/vnd.openxmlformats-officedocument.spreadsheetml.query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Data Analytics\Automation\"/>
    </mc:Choice>
  </mc:AlternateContent>
  <xr:revisionPtr revIDLastSave="0" documentId="13_ncr:1_{DC31C3F4-8F24-47C3-A201-EFE80F88466C}" xr6:coauthVersionLast="47" xr6:coauthVersionMax="47" xr10:uidLastSave="{00000000-0000-0000-0000-000000000000}"/>
  <bookViews>
    <workbookView xWindow="-110" yWindow="-110" windowWidth="19420" windowHeight="11500" firstSheet="11" activeTab="14" xr2:uid="{00000000-000D-0000-FFFF-FFFF00000000}"/>
  </bookViews>
  <sheets>
    <sheet name="Read_Me" sheetId="1" r:id="rId1"/>
    <sheet name="Property_Assessment_Raw" sheetId="2" r:id="rId2"/>
    <sheet name="Municipality_Reference_Raw" sheetId="3" r:id="rId3"/>
    <sheet name="Property_Class_Reference_Raw" sheetId="4" r:id="rId4"/>
    <sheet name="Tax_Rate_Reference_Raw" sheetId="5" r:id="rId5"/>
    <sheet name="Assessed_Value_Stats " sheetId="11" r:id="rId6"/>
    <sheet name="Roll_Number_Count" sheetId="6" r:id="rId7"/>
    <sheet name="Exception" sheetId="25" r:id="rId8"/>
    <sheet name="Data_Quality_Issues" sheetId="14" r:id="rId9"/>
    <sheet name="Issue by Municip" sheetId="19" r:id="rId10"/>
    <sheet name="Issue by Prop" sheetId="20" r:id="rId11"/>
    <sheet name="Assessed Value" sheetId="21" r:id="rId12"/>
    <sheet name="Issue Type" sheetId="24" r:id="rId13"/>
    <sheet name="Clean_Data" sheetId="15" r:id="rId14"/>
    <sheet name="Dashboard" sheetId="16" r:id="rId15"/>
    <sheet name="KPI Table" sheetId="17" r:id="rId16"/>
  </sheets>
  <definedNames>
    <definedName name="ExternalData_1" localSheetId="6" hidden="1">'Roll_Number_Count'!$A$1:$B$491</definedName>
    <definedName name="ExternalData_2" localSheetId="13" hidden="1">'Clean_Data'!$A$1:$AC$501</definedName>
    <definedName name="ExternalData_3" localSheetId="5" hidden="1">'Assessed_Value_Stats '!$A$1:$C$2</definedName>
    <definedName name="ExternalData_5" localSheetId="8" hidden="1">Data_Quality_Issues!$A$1:$AD$112</definedName>
    <definedName name="Slicer_Assessment_Year">#N/A</definedName>
    <definedName name="Slicer_Municipality_Name">#N/A</definedName>
    <definedName name="Slicer_Property_Class">#N/A</definedName>
  </definedNames>
  <calcPr calcId="191029"/>
  <pivotCaches>
    <pivotCache cacheId="20" r:id="rId17"/>
    <pivotCache cacheId="19" r:id="rId18"/>
    <pivotCache cacheId="40"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7" l="1"/>
  <c r="C6" i="17"/>
  <c r="C5" i="17"/>
  <c r="C9" i="17"/>
  <c r="C8" i="17"/>
  <c r="C4" i="17"/>
  <c r="C2" i="17"/>
  <c r="C3" i="17"/>
  <c r="C25" i="17" l="1"/>
  <c r="C24" i="17"/>
  <c r="C23" i="17"/>
  <c r="C22" i="17"/>
  <c r="C21" i="17"/>
  <c r="C20" i="17"/>
  <c r="C19" i="17"/>
  <c r="C18" i="17"/>
  <c r="C17"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26BCAD-F653-4C5F-9EED-B9989557BDD1}" keepAlive="1" name="Query - Assessed_Value_Stats" description="Connection to the 'Assessed_Value_Stats' query in the workbook." type="5" refreshedVersion="8" background="1" saveData="1">
    <dbPr connection="Provider=Microsoft.Mashup.OleDb.1;Data Source=$Workbook$;Location=Assessed_Value_Stats;Extended Properties=&quot;&quot;" command="SELECT * FROM [Assessed_Value_Stats]"/>
  </connection>
  <connection id="2" xr16:uid="{ACC13A66-C0E4-4933-BAA7-DC219F17A0F7}" keepAlive="1" name="Query - Clean_Data" description="Connection to the 'Clean_Data' query in the workbook." type="5" refreshedVersion="8" background="1" refreshOnLoad="1" saveData="1">
    <dbPr connection="Provider=Microsoft.Mashup.OleDb.1;Data Source=$Workbook$;Location=Clean_Data;Extended Properties=&quot;&quot;" command="SELECT * FROM [Clean_Data]"/>
  </connection>
  <connection id="3" xr16:uid="{F601576C-2D9D-4C9F-8BEC-580239F019EE}" keepAlive="1" name="Query - Data_Quality_Issues" description="Connection to the 'Data_Quality_Issues' query in the workbook." type="5" refreshedVersion="8" background="1" saveData="1">
    <dbPr connection="Provider=Microsoft.Mashup.OleDb.1;Data Source=$Workbook$;Location=Data_Quality_Issues;Extended Properties=&quot;&quot;" command="SELECT * FROM [Data_Quality_Issues]"/>
  </connection>
  <connection id="4" xr16:uid="{6AC82565-56FC-4F06-96CF-83E7C0ECFAAC}" keepAlive="1" name="Query - Municipality_Reference" description="Connection to the 'Municipality_Reference' query in the workbook." type="5" refreshedVersion="0" background="1">
    <dbPr connection="Provider=Microsoft.Mashup.OleDb.1;Data Source=$Workbook$;Location=Municipality_Reference;Extended Properties=&quot;&quot;" command="SELECT * FROM [Municipality_Reference]"/>
  </connection>
  <connection id="5" xr16:uid="{83CA77CA-E3EE-4C89-813A-724E290743A3}" keepAlive="1" name="Query - Property_Class_Reference" description="Connection to the 'Property_Class_Reference' query in the workbook." type="5" refreshedVersion="0" background="1">
    <dbPr connection="Provider=Microsoft.Mashup.OleDb.1;Data Source=$Workbook$;Location=Property_Class_Reference;Extended Properties=&quot;&quot;" command="SELECT * FROM [Property_Class_Reference]"/>
  </connection>
  <connection id="6" xr16:uid="{82753707-FB56-4C84-82C5-D775C0DE256A}" keepAlive="1" name="Query - Roll_Number_Count" description="Connection to the 'Roll_Number_Count' query in the workbook." type="5" refreshedVersion="8" background="1" saveData="1">
    <dbPr connection="Provider=Microsoft.Mashup.OleDb.1;Data Source=$Workbook$;Location=Roll_Number_Count;Extended Properties=&quot;&quot;" command="SELECT * FROM [Roll_Number_Count]"/>
  </connection>
  <connection id="7" xr16:uid="{6682875C-41E1-4420-B7E1-C1AD3370E597}" keepAlive="1" name="Query - Tax_Rate_Reference" description="Connection to the 'Tax_Rate_Reference' query in the workbook." type="5" refreshedVersion="0" background="1">
    <dbPr connection="Provider=Microsoft.Mashup.OleDb.1;Data Source=$Workbook$;Location=Tax_Rate_Reference;Extended Properties=&quot;&quot;" command="SELECT * FROM [Tax_Rate_Reference]"/>
  </connection>
  <connection id="8" xr16:uid="{09BDADBF-F3E4-4D69-A845-5B50D89F4A6C}" keepAlive="1" name="Query - Validation_Base" description="Connection to the 'Validation_Base' query in the workbook." type="5" refreshedVersion="8" background="1" saveData="1">
    <dbPr connection="Provider=Microsoft.Mashup.OleDb.1;Data Source=$Workbook$;Location=Validation_Base;Extended Properties=&quot;&quot;" command="SELECT * FROM [Validation_Base]"/>
  </connection>
</connections>
</file>

<file path=xl/sharedStrings.xml><?xml version="1.0" encoding="utf-8"?>
<sst xmlns="http://schemas.openxmlformats.org/spreadsheetml/2006/main" count="16097" uniqueCount="1884">
  <si>
    <t>Property Tax &amp; Assessment Data Quality Dashboard - Starter Workbook</t>
  </si>
  <si>
    <t>Purpose</t>
  </si>
  <si>
    <t>Sheets</t>
  </si>
  <si>
    <t>Property_Assessment</t>
  </si>
  <si>
    <t>Raw synthetic source data with intentional quality issues</t>
  </si>
  <si>
    <t>Municipality_Reference</t>
  </si>
  <si>
    <t>Valid municipality codes and names</t>
  </si>
  <si>
    <t>Property_Class_Reference</t>
  </si>
  <si>
    <t>Valid property classes</t>
  </si>
  <si>
    <t>Tax_Rate_Reference</t>
  </si>
  <si>
    <t>Reference tax rates by municipality and property class</t>
  </si>
  <si>
    <t>Clean_Data</t>
  </si>
  <si>
    <t>Validation layer with formulas and issue flags</t>
  </si>
  <si>
    <t>Data_Quality_Issues</t>
  </si>
  <si>
    <t>Dynamic exception report filtered from Clean_Data</t>
  </si>
  <si>
    <t>Dashboard_Starter</t>
  </si>
  <si>
    <t>Starter KPI section and summary tables for building visuals</t>
  </si>
  <si>
    <t>Suggested validation rules</t>
  </si>
  <si>
    <t>•</t>
  </si>
  <si>
    <t>Roll_Number must be unique</t>
  </si>
  <si>
    <t>Municipality_Code must exist in Municipality_Reference</t>
  </si>
  <si>
    <t>Municipality_Name must match Municipality_Code</t>
  </si>
  <si>
    <t>Property_Class must exist in Property_Class_Reference</t>
  </si>
  <si>
    <t>Tax_Rate must match Tax_Rate_Reference</t>
  </si>
  <si>
    <t>Calculated_Tax must equal Assessed_Value × expected Tax_Rate</t>
  </si>
  <si>
    <t>Postal_Code should follow a Canadian-style pattern</t>
  </si>
  <si>
    <t>Sale_Date should not be in the future</t>
  </si>
  <si>
    <t>Critical fields should be complete</t>
  </si>
  <si>
    <t>Assessed_Value outliers should be flagged</t>
  </si>
  <si>
    <t>How to use</t>
  </si>
  <si>
    <t>Review Property_Assessment for raw data issues.</t>
  </si>
  <si>
    <t>Use Clean_Data as the validated analysis layer.</t>
  </si>
  <si>
    <t>Review Data_Quality_Issues for flagged records.</t>
  </si>
  <si>
    <t>Use Dashboard_Starter as the base for KPI cards, pivots, and charts.</t>
  </si>
  <si>
    <t>Add slicers by Municipality_Code, Property_Class, and Assessment_Year.</t>
  </si>
  <si>
    <t>Roll_Number</t>
  </si>
  <si>
    <t>Municipality_Code</t>
  </si>
  <si>
    <t>Municipality_Name</t>
  </si>
  <si>
    <t>Property_Class</t>
  </si>
  <si>
    <t>Assessment_Year</t>
  </si>
  <si>
    <t>Assessed_Value</t>
  </si>
  <si>
    <t>Tax_Rate</t>
  </si>
  <si>
    <t>Calculated_Tax</t>
  </si>
  <si>
    <t>Address</t>
  </si>
  <si>
    <t>Postal_Code</t>
  </si>
  <si>
    <t>Owner_Name</t>
  </si>
  <si>
    <t>Sale_Price</t>
  </si>
  <si>
    <t>Sale_Date</t>
  </si>
  <si>
    <t>2327-OTT-854-00001</t>
  </si>
  <si>
    <t>OTT</t>
  </si>
  <si>
    <t>Ottawa</t>
  </si>
  <si>
    <t>Residential</t>
  </si>
  <si>
    <t>1689 Park Ave</t>
  </si>
  <si>
    <t>Y1S 0A1</t>
  </si>
  <si>
    <t>Ethan Patel</t>
  </si>
  <si>
    <t>2245-OSH-928-00002</t>
  </si>
  <si>
    <t>OSH</t>
  </si>
  <si>
    <t>Oshawa</t>
  </si>
  <si>
    <t>Agricultural</t>
  </si>
  <si>
    <t>116 Queen St</t>
  </si>
  <si>
    <t>A1 1A1</t>
  </si>
  <si>
    <t>Sarah Anderson</t>
  </si>
  <si>
    <t>2158-TOR-180-00003</t>
  </si>
  <si>
    <t>TOR</t>
  </si>
  <si>
    <t>Toronto</t>
  </si>
  <si>
    <t>9054 Church St</t>
  </si>
  <si>
    <t>P9J 1B3</t>
  </si>
  <si>
    <t>David Jackson</t>
  </si>
  <si>
    <t>2456-BRN-266-00004</t>
  </si>
  <si>
    <t>BRN</t>
  </si>
  <si>
    <t>Brampton</t>
  </si>
  <si>
    <t>Industrial</t>
  </si>
  <si>
    <t>6075 Victoria Rd, Suite 23</t>
  </si>
  <si>
    <t>C9H 8K2</t>
  </si>
  <si>
    <t>James Clark</t>
  </si>
  <si>
    <t>2114-LON-924-00005</t>
  </si>
  <si>
    <t>LON</t>
  </si>
  <si>
    <t>London</t>
  </si>
  <si>
    <t>5178 Wellington St</t>
  </si>
  <si>
    <t>J9N 3V6</t>
  </si>
  <si>
    <t>Nguyen Investments Inc.</t>
  </si>
  <si>
    <t>2364-LON-697-00006</t>
  </si>
  <si>
    <t>Multi-Residential</t>
  </si>
  <si>
    <t>6553 Victoria Rd, Unit 17</t>
  </si>
  <si>
    <t/>
  </si>
  <si>
    <t>Thomas Group Inc.</t>
  </si>
  <si>
    <t>2311-GUE-796-00007</t>
  </si>
  <si>
    <t>GUE</t>
  </si>
  <si>
    <t>Guelph</t>
  </si>
  <si>
    <t>1886 Park Ave</t>
  </si>
  <si>
    <t>L5E 4S2</t>
  </si>
  <si>
    <t>James Lee</t>
  </si>
  <si>
    <t>2230-OTT-652-00008</t>
  </si>
  <si>
    <t>8699 Main St</t>
  </si>
  <si>
    <t>V0E 5M3</t>
  </si>
  <si>
    <t>David Brown</t>
  </si>
  <si>
    <t>2280-OSH-269-00009</t>
  </si>
  <si>
    <t>Commercial</t>
  </si>
  <si>
    <t>S3Y 3M6</t>
  </si>
  <si>
    <t>Nguyen Developments Inc.</t>
  </si>
  <si>
    <t>2253-MSS-121-00010</t>
  </si>
  <si>
    <t>MSS</t>
  </si>
  <si>
    <t>Mississauga</t>
  </si>
  <si>
    <t>9648 Elm St, Unit 1</t>
  </si>
  <si>
    <t>C0K 1B5</t>
  </si>
  <si>
    <t>Grace Taylor</t>
  </si>
  <si>
    <t>2470-OSH-926-00011</t>
  </si>
  <si>
    <t>6679 Maple Ave, Apt 14</t>
  </si>
  <si>
    <t>P6S 7B1</t>
  </si>
  <si>
    <t>Olivia White</t>
  </si>
  <si>
    <t>2433-LON-385-00012</t>
  </si>
  <si>
    <t>7589 Maple Ave</t>
  </si>
  <si>
    <t>C7Y 1B8</t>
  </si>
  <si>
    <t>Brown Properties Inc.</t>
  </si>
  <si>
    <t>2431-MSS-488-00013</t>
  </si>
  <si>
    <t>45 Wellington St</t>
  </si>
  <si>
    <t>T4S 8V2</t>
  </si>
  <si>
    <t>Daniel Smith</t>
  </si>
  <si>
    <t>2171-TOR-614-00014</t>
  </si>
  <si>
    <t>8711 Queen St, Apt 3</t>
  </si>
  <si>
    <t>H1C 3R1</t>
  </si>
  <si>
    <t>Patel Properties Inc.</t>
  </si>
  <si>
    <t>2482-GUE-635-00015</t>
  </si>
  <si>
    <t>5193 Church St, Apt 11</t>
  </si>
  <si>
    <t>K4R 2M7</t>
  </si>
  <si>
    <t>David Smith</t>
  </si>
  <si>
    <t>2226-OTT-457-00016</t>
  </si>
  <si>
    <t>1137 Maple Ave</t>
  </si>
  <si>
    <t>H7Y 4X0</t>
  </si>
  <si>
    <t>Ella Taylor</t>
  </si>
  <si>
    <t>2180-HAM-259-00017</t>
  </si>
  <si>
    <t>HAM</t>
  </si>
  <si>
    <t>Hamilton</t>
  </si>
  <si>
    <t>4472 Church St</t>
  </si>
  <si>
    <t>N3L 8V4</t>
  </si>
  <si>
    <t>Jackson Holdings Inc.</t>
  </si>
  <si>
    <t>2126-WDR-752-00018</t>
  </si>
  <si>
    <t>WDR</t>
  </si>
  <si>
    <t>Windsor</t>
  </si>
  <si>
    <t>4301 Queen St</t>
  </si>
  <si>
    <t>Y6Y 0E1</t>
  </si>
  <si>
    <t>Wilson Properties Inc.</t>
  </si>
  <si>
    <t>2215-GUE-415-00019</t>
  </si>
  <si>
    <t>5984 Main St</t>
  </si>
  <si>
    <t>J3E 5Y6</t>
  </si>
  <si>
    <t>2452-HAM-901-00020</t>
  </si>
  <si>
    <t>6755 Park Ave</t>
  </si>
  <si>
    <t>K4H 1R0</t>
  </si>
  <si>
    <t>Williams Properties Inc.</t>
  </si>
  <si>
    <t>2294-KIN-297-00021</t>
  </si>
  <si>
    <t>KIN</t>
  </si>
  <si>
    <t>Kingston</t>
  </si>
  <si>
    <t>6538 Victoria Rd</t>
  </si>
  <si>
    <t>C4P 8R8</t>
  </si>
  <si>
    <t>John Brown</t>
  </si>
  <si>
    <t>2386-HAM-544-00022</t>
  </si>
  <si>
    <t>5673 Victoria Rd</t>
  </si>
  <si>
    <t>X1R 9J4</t>
  </si>
  <si>
    <t>Liam Smith</t>
  </si>
  <si>
    <t>2395-OSH-438-00023</t>
  </si>
  <si>
    <t>5153 Park Ave</t>
  </si>
  <si>
    <t>M8M 6N6</t>
  </si>
  <si>
    <t>Ella Johnson</t>
  </si>
  <si>
    <t>2310-BRN-411-00024</t>
  </si>
  <si>
    <t>4710 Maple Ave</t>
  </si>
  <si>
    <t>N7T 7J8</t>
  </si>
  <si>
    <t>Aisha Nguyen</t>
  </si>
  <si>
    <t>2140-GUE-788-00025</t>
  </si>
  <si>
    <t>5095 Maple Ave</t>
  </si>
  <si>
    <t>G0B 3V9</t>
  </si>
  <si>
    <t>Brown Investments Inc.</t>
  </si>
  <si>
    <t>2493-BRN-804-00026</t>
  </si>
  <si>
    <t>100 King St</t>
  </si>
  <si>
    <t>K2X 7B8</t>
  </si>
  <si>
    <t>Sarah Martin</t>
  </si>
  <si>
    <t>2366-OSH-727-00027</t>
  </si>
  <si>
    <t>8280 Wellington St</t>
  </si>
  <si>
    <t>Y7H 7T4</t>
  </si>
  <si>
    <t>James White</t>
  </si>
  <si>
    <t>2446-LON-340-00028</t>
  </si>
  <si>
    <t>4461 Victoria Rd</t>
  </si>
  <si>
    <t>Y1G 2K6</t>
  </si>
  <si>
    <t>Daniel Brown</t>
  </si>
  <si>
    <t>2463-OSH-498-00029</t>
  </si>
  <si>
    <t>9579 Main St</t>
  </si>
  <si>
    <t>R7A 5M6</t>
  </si>
  <si>
    <t>Jackson Investments Inc.</t>
  </si>
  <si>
    <t>2244-OSH-546-00030</t>
  </si>
  <si>
    <t>7966 Main St</t>
  </si>
  <si>
    <t>R2T 2Y0</t>
  </si>
  <si>
    <t>Patel Group Inc.</t>
  </si>
  <si>
    <t>2443-BRN-488-00031</t>
  </si>
  <si>
    <t>5373 Maple Ave</t>
  </si>
  <si>
    <t>N6L 6L1</t>
  </si>
  <si>
    <t>Ella Smith</t>
  </si>
  <si>
    <t>2141-LON-304-00032</t>
  </si>
  <si>
    <t>343 Cedar Ave, Unit 16</t>
  </si>
  <si>
    <t>E9J 7L5</t>
  </si>
  <si>
    <t>Sarah White</t>
  </si>
  <si>
    <t>2183-OTT-793-00033</t>
  </si>
  <si>
    <t>6159 Wellington St</t>
  </si>
  <si>
    <t>J1K 1M9</t>
  </si>
  <si>
    <t>White Group Inc.</t>
  </si>
  <si>
    <t>217 Wellington St</t>
  </si>
  <si>
    <t>E6P 7G6</t>
  </si>
  <si>
    <t>Ethan Nguyen</t>
  </si>
  <si>
    <t>2485-OSH-374-00035</t>
  </si>
  <si>
    <t>5290 Maple Ave</t>
  </si>
  <si>
    <t>C4T 3T9</t>
  </si>
  <si>
    <t>Sophia Anderson</t>
  </si>
  <si>
    <t>2123-OSH-609-00199</t>
  </si>
  <si>
    <t>4591 Cedar Ave</t>
  </si>
  <si>
    <t>L8A 8J1</t>
  </si>
  <si>
    <t>Liam Martin</t>
  </si>
  <si>
    <t>2421-MSS-401-00037</t>
  </si>
  <si>
    <t>3640 Wellington St</t>
  </si>
  <si>
    <t>M9P 7Y8</t>
  </si>
  <si>
    <t>Ella Anderson</t>
  </si>
  <si>
    <t>2334-WDR-423-00038</t>
  </si>
  <si>
    <t>1968 Elm St</t>
  </si>
  <si>
    <t>H3J 7L9</t>
  </si>
  <si>
    <t>Lee Group Inc.</t>
  </si>
  <si>
    <t>2248-LON-114-00039</t>
  </si>
  <si>
    <t>8761 Queen St</t>
  </si>
  <si>
    <t>B8M 2V1</t>
  </si>
  <si>
    <t>Patel Developments Inc.</t>
  </si>
  <si>
    <t>2171-KIN-216-00040</t>
  </si>
  <si>
    <t>1080 Wellington St</t>
  </si>
  <si>
    <t>B2G 9M1</t>
  </si>
  <si>
    <t>Brown Group Inc.</t>
  </si>
  <si>
    <t>2448-OSH-980-00041</t>
  </si>
  <si>
    <t>9652 Wellington St</t>
  </si>
  <si>
    <t>B9E 3J4</t>
  </si>
  <si>
    <t>Aisha Williams</t>
  </si>
  <si>
    <t>2486-HAM-581-00042</t>
  </si>
  <si>
    <t>4781 Main St, Apt 10</t>
  </si>
  <si>
    <t>T1K 4J6</t>
  </si>
  <si>
    <t>2149-HAM-709-00043</t>
  </si>
  <si>
    <t>9335 Church St</t>
  </si>
  <si>
    <t>T4R 4X8</t>
  </si>
  <si>
    <t>David Patel</t>
  </si>
  <si>
    <t>2339-KIN-790-00044</t>
  </si>
  <si>
    <t>9434 Cedar Ave</t>
  </si>
  <si>
    <t>L9B 2V8</t>
  </si>
  <si>
    <t>James Johnson</t>
  </si>
  <si>
    <t>2452-MSS-428-00045</t>
  </si>
  <si>
    <t>1723 Queen St</t>
  </si>
  <si>
    <t>V4R 8B7</t>
  </si>
  <si>
    <t>James Anderson</t>
  </si>
  <si>
    <t>2434-OSH-630-00046</t>
  </si>
  <si>
    <t>5937 Cedar Ave</t>
  </si>
  <si>
    <t>T0J 4Y2</t>
  </si>
  <si>
    <t>Martin Investments Inc.</t>
  </si>
  <si>
    <t>2211-GUE-665-00047</t>
  </si>
  <si>
    <t>6694 King St, Unit 15</t>
  </si>
  <si>
    <t>E2V 4X4</t>
  </si>
  <si>
    <t>Chloe Martin</t>
  </si>
  <si>
    <t>2275-HAM-864-00048</t>
  </si>
  <si>
    <t>2246 King St</t>
  </si>
  <si>
    <t>S5X 4A4</t>
  </si>
  <si>
    <t>Chloe Jackson</t>
  </si>
  <si>
    <t>2379-MSS-486-00049</t>
  </si>
  <si>
    <t>7470 Victoria Rd</t>
  </si>
  <si>
    <t>K9R 3S0</t>
  </si>
  <si>
    <t>Chloe Wilson</t>
  </si>
  <si>
    <t>2426-BRN-614-00050</t>
  </si>
  <si>
    <t>9679 Victoria Rd</t>
  </si>
  <si>
    <t>T1X 7A2</t>
  </si>
  <si>
    <t>Michael Brown</t>
  </si>
  <si>
    <t>2452-KIN-972-00051</t>
  </si>
  <si>
    <t>8752 Wellington St</t>
  </si>
  <si>
    <t>V8B 9C3</t>
  </si>
  <si>
    <t>Fatima Williams</t>
  </si>
  <si>
    <t>2448-OTT-129-00052</t>
  </si>
  <si>
    <t>763 Victoria Rd</t>
  </si>
  <si>
    <t>M5P 6G3</t>
  </si>
  <si>
    <t>Aisha Johnson</t>
  </si>
  <si>
    <t>2284-BRN-246-00053</t>
  </si>
  <si>
    <t>3814 Lakeshore Rd</t>
  </si>
  <si>
    <t>T4A 7M8</t>
  </si>
  <si>
    <t>Emma Anderson</t>
  </si>
  <si>
    <t>2435-BRN-493-00054</t>
  </si>
  <si>
    <t>7926 King St, Apt 12</t>
  </si>
  <si>
    <t>M4A 6L0</t>
  </si>
  <si>
    <t>Mary Clark</t>
  </si>
  <si>
    <t>2334-WDR-735-00055</t>
  </si>
  <si>
    <t>4116 Park Ave</t>
  </si>
  <si>
    <t>G1B 4T0</t>
  </si>
  <si>
    <t>2279-BRN-997-00056</t>
  </si>
  <si>
    <t>6004 Elm St</t>
  </si>
  <si>
    <t>L2L 7M5</t>
  </si>
  <si>
    <t>Martin Holdings Inc.</t>
  </si>
  <si>
    <t>2360-BRN-114-00057</t>
  </si>
  <si>
    <t>4342 Elm St, Suite 22</t>
  </si>
  <si>
    <t>L9R 5E3</t>
  </si>
  <si>
    <t>2324-OTT-243-00058</t>
  </si>
  <si>
    <t>752 Main St</t>
  </si>
  <si>
    <t>V1E 3Y2</t>
  </si>
  <si>
    <t>Noah Nguyen</t>
  </si>
  <si>
    <t>2293-OSH-201-00059</t>
  </si>
  <si>
    <t>8027 Cedar Ave</t>
  </si>
  <si>
    <t>L0P 3T7</t>
  </si>
  <si>
    <t>Jackson Developments Inc.</t>
  </si>
  <si>
    <t>2134-OSH-225-00060</t>
  </si>
  <si>
    <t>7460 King St</t>
  </si>
  <si>
    <t>A0N 3G9</t>
  </si>
  <si>
    <t>Ella Williams</t>
  </si>
  <si>
    <t>2128-KIN-233-00061</t>
  </si>
  <si>
    <t>8860 Church St</t>
  </si>
  <si>
    <t>E0G 0P3</t>
  </si>
  <si>
    <t>John Johnson</t>
  </si>
  <si>
    <t>2170-BRN-559-00062</t>
  </si>
  <si>
    <t>5941 Elm St</t>
  </si>
  <si>
    <t>T8K 9B8</t>
  </si>
  <si>
    <t>John Smith</t>
  </si>
  <si>
    <t>2466-BRN-175-00063</t>
  </si>
  <si>
    <t>1333 Victoria Rd</t>
  </si>
  <si>
    <t>C2L 9Y5</t>
  </si>
  <si>
    <t>Ethan Taylor</t>
  </si>
  <si>
    <t>2193-BRN-998-00064</t>
  </si>
  <si>
    <t>9043 Maple Ave</t>
  </si>
  <si>
    <t>K6N 7R6</t>
  </si>
  <si>
    <t>Olivia Thomas</t>
  </si>
  <si>
    <t>2420-KIN-195-00065</t>
  </si>
  <si>
    <t>7085 King St</t>
  </si>
  <si>
    <t>P2Y 0Y8</t>
  </si>
  <si>
    <t>Sarah Thomas</t>
  </si>
  <si>
    <t>2355-BRN-206-00066</t>
  </si>
  <si>
    <t>9478 Elm St, Apt 16</t>
  </si>
  <si>
    <t>K1P 8P1</t>
  </si>
  <si>
    <t>Grace White</t>
  </si>
  <si>
    <t>2194-GUE-949-00067</t>
  </si>
  <si>
    <t>4391 Main St, Apt 25</t>
  </si>
  <si>
    <t>M5P 0H2</t>
  </si>
  <si>
    <t>Sophia Brown</t>
  </si>
  <si>
    <t>2268-OTT-449-00068</t>
  </si>
  <si>
    <t>2588 Victoria Rd</t>
  </si>
  <si>
    <t>N9C 0G2</t>
  </si>
  <si>
    <t>Mary Nguyen</t>
  </si>
  <si>
    <t>2437-BRN-873-00069</t>
  </si>
  <si>
    <t>8404 King St</t>
  </si>
  <si>
    <t>E4V 8M0</t>
  </si>
  <si>
    <t>Mary Smith</t>
  </si>
  <si>
    <t>2310-HAM-609-00070</t>
  </si>
  <si>
    <t>7065 Queen St, Apt 23</t>
  </si>
  <si>
    <t>K8Y 5C6</t>
  </si>
  <si>
    <t>Smith Investments Inc.</t>
  </si>
  <si>
    <t>2491-OTT-527-00071</t>
  </si>
  <si>
    <t>4753 King St</t>
  </si>
  <si>
    <t>N2T 5C6</t>
  </si>
  <si>
    <t>Williams Investments Inc.</t>
  </si>
  <si>
    <t>2338-OTT-441-00072</t>
  </si>
  <si>
    <t>2764 King St</t>
  </si>
  <si>
    <t>E8X 3P5</t>
  </si>
  <si>
    <t>Michael Williams</t>
  </si>
  <si>
    <t>2293-LON-177-00073</t>
  </si>
  <si>
    <t>2912 Park Ave</t>
  </si>
  <si>
    <t>T9N 5G7</t>
  </si>
  <si>
    <t>Emma Nguyen</t>
  </si>
  <si>
    <t>2253-MSS-909-00110</t>
  </si>
  <si>
    <t>7414 Main St, Suite 3</t>
  </si>
  <si>
    <t>C9X 6T9</t>
  </si>
  <si>
    <t>Mary Martin</t>
  </si>
  <si>
    <t>2417-LON-561-00075</t>
  </si>
  <si>
    <t>1705 Victoria Rd</t>
  </si>
  <si>
    <t>C8H 0K7</t>
  </si>
  <si>
    <t>2453-KIN-795-00076</t>
  </si>
  <si>
    <t>9805 Main St</t>
  </si>
  <si>
    <t>N1N 1Y6</t>
  </si>
  <si>
    <t>Michael Anderson</t>
  </si>
  <si>
    <t>2399-HAM-778-00077</t>
  </si>
  <si>
    <t>6431 Queen St</t>
  </si>
  <si>
    <t>C4Y 6N2</t>
  </si>
  <si>
    <t>Ethan Brown</t>
  </si>
  <si>
    <t>2133-OSH-319-00078</t>
  </si>
  <si>
    <t>5608 Lakeshore Rd, Unit 5</t>
  </si>
  <si>
    <t>C4E 8Y8</t>
  </si>
  <si>
    <t>Olivia Clark</t>
  </si>
  <si>
    <t>2298-GUE-889-00079</t>
  </si>
  <si>
    <t>2722 Lakeshore Rd, Suite 22</t>
  </si>
  <si>
    <t>K7M 7K8</t>
  </si>
  <si>
    <t>Chloe Clark</t>
  </si>
  <si>
    <t>2458-GUE-614-00080</t>
  </si>
  <si>
    <t>8651 Wellington St</t>
  </si>
  <si>
    <t>J9G 4B7</t>
  </si>
  <si>
    <t>Lee Holdings Inc.</t>
  </si>
  <si>
    <t>2144-OTT-560-00081</t>
  </si>
  <si>
    <t>8420 Queen St</t>
  </si>
  <si>
    <t>C3T 5A6</t>
  </si>
  <si>
    <t>Ethan Anderson</t>
  </si>
  <si>
    <t>5503 Queen St, Suite 30</t>
  </si>
  <si>
    <t>V2V 7A1</t>
  </si>
  <si>
    <t>Daniel Jackson</t>
  </si>
  <si>
    <t>2325-BRN-148-00083</t>
  </si>
  <si>
    <t>3916 Wellington St</t>
  </si>
  <si>
    <t>T1E 7Y0</t>
  </si>
  <si>
    <t>Grace Wilson</t>
  </si>
  <si>
    <t>2363-TOR-291-00084</t>
  </si>
  <si>
    <t>1412 Elm St</t>
  </si>
  <si>
    <t>C8Y 8X8</t>
  </si>
  <si>
    <t>Chloe Smith</t>
  </si>
  <si>
    <t>2354-WDR-346-00085</t>
  </si>
  <si>
    <t>1708 Cedar Ave</t>
  </si>
  <si>
    <t>N2B 5Y5</t>
  </si>
  <si>
    <t>Johnson Investments Inc.</t>
  </si>
  <si>
    <t>2168-HAM-137-00086</t>
  </si>
  <si>
    <t>4817 Maple Ave, Unit 29</t>
  </si>
  <si>
    <t>B5M 8R8</t>
  </si>
  <si>
    <t>Mary White</t>
  </si>
  <si>
    <t>2357-KIN-547-00087</t>
  </si>
  <si>
    <t>6563 Lakeshore Rd</t>
  </si>
  <si>
    <t>R5H 7V5</t>
  </si>
  <si>
    <t>Lee Developments Inc.</t>
  </si>
  <si>
    <t>2433-BRN-658-00088</t>
  </si>
  <si>
    <t>4823 Victoria Rd, Suite 22</t>
  </si>
  <si>
    <t>M4T 9S2</t>
  </si>
  <si>
    <t>Noah Martin</t>
  </si>
  <si>
    <t>2317-GUE-176-00089</t>
  </si>
  <si>
    <t>6665 Victoria Rd</t>
  </si>
  <si>
    <t>H0G 9T0</t>
  </si>
  <si>
    <t>2271-MSS-398-00484</t>
  </si>
  <si>
    <t>6087 Victoria Rd</t>
  </si>
  <si>
    <t>C9G 8P6</t>
  </si>
  <si>
    <t>James Williams</t>
  </si>
  <si>
    <t>2425-HAM-368-00091</t>
  </si>
  <si>
    <t>Other</t>
  </si>
  <si>
    <t>4274 Lakeshore Rd, Apt 10</t>
  </si>
  <si>
    <t>V3E 2C7</t>
  </si>
  <si>
    <t>Emma Brown</t>
  </si>
  <si>
    <t>2330-KIN-828-00092</t>
  </si>
  <si>
    <t>2862 Victoria Rd</t>
  </si>
  <si>
    <t>E3G 3V0</t>
  </si>
  <si>
    <t>2160-HAM-834-00093</t>
  </si>
  <si>
    <t>7852 Elm St</t>
  </si>
  <si>
    <t>S9C 2N1</t>
  </si>
  <si>
    <t>2217-GUE-951-00094</t>
  </si>
  <si>
    <t>2044 Elm St, Unit 6</t>
  </si>
  <si>
    <t>N3P 8M1</t>
  </si>
  <si>
    <t>2131-GUE-706-00095</t>
  </si>
  <si>
    <t>9523 Queen St, Apt 24</t>
  </si>
  <si>
    <t>N9B 0C0</t>
  </si>
  <si>
    <t>2190-GUE-658-00096</t>
  </si>
  <si>
    <t>4755 Park Ave</t>
  </si>
  <si>
    <t>V3R 4T1</t>
  </si>
  <si>
    <t>Aisha Martin</t>
  </si>
  <si>
    <t>2250-LON-851-00097</t>
  </si>
  <si>
    <t>5668 Wellington St, Suite 17</t>
  </si>
  <si>
    <t>Y1N 3T1</t>
  </si>
  <si>
    <t>Grace Johnson</t>
  </si>
  <si>
    <t>2430-BRN-933-00098</t>
  </si>
  <si>
    <t>5374 Cedar Ave</t>
  </si>
  <si>
    <t>J2V 8T7</t>
  </si>
  <si>
    <t>2255-OSH-149-00099</t>
  </si>
  <si>
    <t>838 Church St</t>
  </si>
  <si>
    <t>V4Y 0E6</t>
  </si>
  <si>
    <t>James Wilson</t>
  </si>
  <si>
    <t>2481-KIN-299-00100</t>
  </si>
  <si>
    <t>5949 Elm St</t>
  </si>
  <si>
    <t>R8T 8L9</t>
  </si>
  <si>
    <t>Sarah Johnson</t>
  </si>
  <si>
    <t>2335-KIN-716-00101</t>
  </si>
  <si>
    <t>8351 Wellington St</t>
  </si>
  <si>
    <t>B0G 5V8</t>
  </si>
  <si>
    <t>Ethan Johnson</t>
  </si>
  <si>
    <t>2448-KIN-707-00102</t>
  </si>
  <si>
    <t>5521 Elm St</t>
  </si>
  <si>
    <t>Y7M 7A5</t>
  </si>
  <si>
    <t>2493-TOR-901-00103</t>
  </si>
  <si>
    <t>9487 Cedar Ave, Unit 19</t>
  </si>
  <si>
    <t>V2X 9R2</t>
  </si>
  <si>
    <t>Williams Holdings Inc.</t>
  </si>
  <si>
    <t>2163-OTT-255-00104</t>
  </si>
  <si>
    <t>6775 Maple Ave</t>
  </si>
  <si>
    <t>V0G 8J8</t>
  </si>
  <si>
    <t>Chloe Lee</t>
  </si>
  <si>
    <t>2396-MSS-890-00105</t>
  </si>
  <si>
    <t>4341 Cedar Ave</t>
  </si>
  <si>
    <t>K4Y 4K4</t>
  </si>
  <si>
    <t>Daniel Wilson</t>
  </si>
  <si>
    <t>2383-MSS-792-00106</t>
  </si>
  <si>
    <t>8909 Wellington St</t>
  </si>
  <si>
    <t>R5G 4B4</t>
  </si>
  <si>
    <t>Brown Developments Inc.</t>
  </si>
  <si>
    <t>2278-WDR-377-00107</t>
  </si>
  <si>
    <t>9218 Church St, Apt 24</t>
  </si>
  <si>
    <t>K3B 8K3</t>
  </si>
  <si>
    <t>Liam Anderson</t>
  </si>
  <si>
    <t>2270-HAM-588-00108</t>
  </si>
  <si>
    <t>3277 Church St</t>
  </si>
  <si>
    <t>B1K 8B2</t>
  </si>
  <si>
    <t>Aisha Clark</t>
  </si>
  <si>
    <t>2311-MSS-405-00109</t>
  </si>
  <si>
    <t>9315 Cedar Ave, Suite 10</t>
  </si>
  <si>
    <t>T8X 7G8</t>
  </si>
  <si>
    <t>Daniel White</t>
  </si>
  <si>
    <t>4843 Cedar Ave</t>
  </si>
  <si>
    <t>J2R 6X5</t>
  </si>
  <si>
    <t>2140-KIN-557-00111</t>
  </si>
  <si>
    <t>4384 Victoria Rd</t>
  </si>
  <si>
    <t>A4P 3B1</t>
  </si>
  <si>
    <t>Aisha Thomas</t>
  </si>
  <si>
    <t>2338-OTT-236-00112</t>
  </si>
  <si>
    <t>7844 Queen St</t>
  </si>
  <si>
    <t>P6Y 7Y3</t>
  </si>
  <si>
    <t>David Lee</t>
  </si>
  <si>
    <t>2180-KIN-617-00113</t>
  </si>
  <si>
    <t>3322 Cedar Ave</t>
  </si>
  <si>
    <t>H5X 7E3</t>
  </si>
  <si>
    <t>Chloe Brown</t>
  </si>
  <si>
    <t>2268-TOR-677-00114</t>
  </si>
  <si>
    <t>955 Elm St</t>
  </si>
  <si>
    <t>M0R 4A3</t>
  </si>
  <si>
    <t>Mary Thomas</t>
  </si>
  <si>
    <t>2170-OSH-132-00115</t>
  </si>
  <si>
    <t>4713 Wellington St, Unit 25</t>
  </si>
  <si>
    <t>S5R 7R6</t>
  </si>
  <si>
    <t>2438-OTT-954-00116</t>
  </si>
  <si>
    <t>66 Main St</t>
  </si>
  <si>
    <t>T8S 8R3</t>
  </si>
  <si>
    <t>Noah Johnson</t>
  </si>
  <si>
    <t>2412-OTT-346-00117</t>
  </si>
  <si>
    <t>3386 King St, Unit 15</t>
  </si>
  <si>
    <t>B3B 6T3</t>
  </si>
  <si>
    <t>Mary Johnson</t>
  </si>
  <si>
    <t>2396-LON-938-00118</t>
  </si>
  <si>
    <t>5263 Maple Ave</t>
  </si>
  <si>
    <t>G8K 6M4</t>
  </si>
  <si>
    <t>2395-MSS-490-00119</t>
  </si>
  <si>
    <t>8602 Victoria Rd</t>
  </si>
  <si>
    <t>S2M 6H8</t>
  </si>
  <si>
    <t>2481-MSS-642-00120</t>
  </si>
  <si>
    <t>2206 Wellington St, Unit 11</t>
  </si>
  <si>
    <t>C7P 1Y3</t>
  </si>
  <si>
    <t>Sophia Nguyen</t>
  </si>
  <si>
    <t>2252-OTT-410-00121</t>
  </si>
  <si>
    <t>Resdential</t>
  </si>
  <si>
    <t>261 Maple Ave</t>
  </si>
  <si>
    <t>E7K 9J6</t>
  </si>
  <si>
    <t>2356-MSS-625-00122</t>
  </si>
  <si>
    <t>8157 Lakeshore Rd, Apt 16</t>
  </si>
  <si>
    <t>N3P 5S0</t>
  </si>
  <si>
    <t>2435-OSH-437-00123</t>
  </si>
  <si>
    <t>3778 Wellington St</t>
  </si>
  <si>
    <t>K7Y 5L7</t>
  </si>
  <si>
    <t>2389-LON-506-00189</t>
  </si>
  <si>
    <t>8892 Park Ave</t>
  </si>
  <si>
    <t>X0C 0A6</t>
  </si>
  <si>
    <t>Grace Brown</t>
  </si>
  <si>
    <t>2489-LON-753-00125</t>
  </si>
  <si>
    <t>7926 Park Ave</t>
  </si>
  <si>
    <t>INVALID</t>
  </si>
  <si>
    <t>2222-OSH-636-00126</t>
  </si>
  <si>
    <t>2449 Maple Ave, Apt 9</t>
  </si>
  <si>
    <t>P4R 1P6</t>
  </si>
  <si>
    <t>2480-TOR-587-00127</t>
  </si>
  <si>
    <t>929 Park Ave, Unit 3</t>
  </si>
  <si>
    <t>V6N 9E8</t>
  </si>
  <si>
    <t>2319-GUE-800-00128</t>
  </si>
  <si>
    <t>4603 Elm St</t>
  </si>
  <si>
    <t>B2N 0J9</t>
  </si>
  <si>
    <t>Sophia Clark</t>
  </si>
  <si>
    <t>2479-GUE-439-00129</t>
  </si>
  <si>
    <t>6298 Queen St</t>
  </si>
  <si>
    <t>C8P 0E6</t>
  </si>
  <si>
    <t>David Anderson</t>
  </si>
  <si>
    <t>2344-GUE-902-00130</t>
  </si>
  <si>
    <t>7391 Lakeshore Rd, Apt 13</t>
  </si>
  <si>
    <t>S2R 1M3</t>
  </si>
  <si>
    <t>David Taylor</t>
  </si>
  <si>
    <t>2321-HAM-105-00131</t>
  </si>
  <si>
    <t>5060 Lakeshore Rd</t>
  </si>
  <si>
    <t>L1G 1H6</t>
  </si>
  <si>
    <t>Ella Lee</t>
  </si>
  <si>
    <t>2151-OTT-984-00132</t>
  </si>
  <si>
    <t>6321 Main St</t>
  </si>
  <si>
    <t>R1Y 3X2</t>
  </si>
  <si>
    <t>2145-MSS-531-00133</t>
  </si>
  <si>
    <t>Vacant Land</t>
  </si>
  <si>
    <t>4921 Lakeshore Rd</t>
  </si>
  <si>
    <t>P4K 7J7</t>
  </si>
  <si>
    <t>Fatima Smith</t>
  </si>
  <si>
    <t>2365-GUE-935-00134</t>
  </si>
  <si>
    <t>9748 Queen St</t>
  </si>
  <si>
    <t>123456</t>
  </si>
  <si>
    <t>Chloe Patel</t>
  </si>
  <si>
    <t>2482-BRN-304-00135</t>
  </si>
  <si>
    <t>9713 Elm St, Apt 1</t>
  </si>
  <si>
    <t>T3T 4C6</t>
  </si>
  <si>
    <t>Michael Nguyen</t>
  </si>
  <si>
    <t>2486-HAM-590-00136</t>
  </si>
  <si>
    <t>9549 Wellington St</t>
  </si>
  <si>
    <t>S8B 5Y9</t>
  </si>
  <si>
    <t>2192-KIN-793-00137</t>
  </si>
  <si>
    <t>6557 Victoria Rd</t>
  </si>
  <si>
    <t>S1A 1L3</t>
  </si>
  <si>
    <t>Ethan Lee</t>
  </si>
  <si>
    <t>2496-MSS-702-00138</t>
  </si>
  <si>
    <t>8209 Queen St</t>
  </si>
  <si>
    <t>A7E 4S1</t>
  </si>
  <si>
    <t>2422-LON-548-00139</t>
  </si>
  <si>
    <t>7422 Victoria Rd, Unit 26</t>
  </si>
  <si>
    <t>2433-MSS-755-00140</t>
  </si>
  <si>
    <t>ZZZ</t>
  </si>
  <si>
    <t>7090 Wellington St, Apt 29</t>
  </si>
  <si>
    <t>J7S 6A3</t>
  </si>
  <si>
    <t>2324-HAM-368-00141</t>
  </si>
  <si>
    <t>8029 Elm St</t>
  </si>
  <si>
    <t>N9R 9R9</t>
  </si>
  <si>
    <t>Noah Jackson</t>
  </si>
  <si>
    <t>2150-WDR-220-00142</t>
  </si>
  <si>
    <t>3918 Church St, Suite 23</t>
  </si>
  <si>
    <t>G8R 6G9</t>
  </si>
  <si>
    <t>2433-OSH-422-00143</t>
  </si>
  <si>
    <t>T0R</t>
  </si>
  <si>
    <t>7399 Cedar Ave, Suite 1</t>
  </si>
  <si>
    <t>V2J 6Y8</t>
  </si>
  <si>
    <t>Liam Nguyen</t>
  </si>
  <si>
    <t>2213-MSS-914-00144</t>
  </si>
  <si>
    <t>3623 Church St, Unit 18</t>
  </si>
  <si>
    <t>M2T 9V8</t>
  </si>
  <si>
    <t>Sarah Taylor</t>
  </si>
  <si>
    <t>2464-OSH-204-00145</t>
  </si>
  <si>
    <t>4065 Church St</t>
  </si>
  <si>
    <t>B7L 5C7</t>
  </si>
  <si>
    <t>2427-GUE-903-00146</t>
  </si>
  <si>
    <t>3395 Maple Ave</t>
  </si>
  <si>
    <t>P8L 9Y2</t>
  </si>
  <si>
    <t>Fatima Taylor</t>
  </si>
  <si>
    <t>2445-OTT-987-00147</t>
  </si>
  <si>
    <t>2088 Queen St, Apt 11</t>
  </si>
  <si>
    <t>K6V 2L6</t>
  </si>
  <si>
    <t>David Nguyen</t>
  </si>
  <si>
    <t>2319-TOR-954-00267</t>
  </si>
  <si>
    <t>8006 Victoria Rd</t>
  </si>
  <si>
    <t>C7P 1Y6</t>
  </si>
  <si>
    <t>Liam Jackson</t>
  </si>
  <si>
    <t>2326-KIN-679-00149</t>
  </si>
  <si>
    <t>7961 Victoria Rd</t>
  </si>
  <si>
    <t>B0E 7A1</t>
  </si>
  <si>
    <t>2345-LON-195-00150</t>
  </si>
  <si>
    <t>5915 Church St, Apt 29</t>
  </si>
  <si>
    <t>H0R 4K6</t>
  </si>
  <si>
    <t>Sarah Smith</t>
  </si>
  <si>
    <t>2266-HAM-109-00151</t>
  </si>
  <si>
    <t>Mixed Use</t>
  </si>
  <si>
    <t>142 Victoria Rd</t>
  </si>
  <si>
    <t>S2V 1K6</t>
  </si>
  <si>
    <t>Sarah Brown</t>
  </si>
  <si>
    <t>2296-HAM-246-00152</t>
  </si>
  <si>
    <t>1130 Elm St</t>
  </si>
  <si>
    <t>H7P 3G6</t>
  </si>
  <si>
    <t>Emma Jackson</t>
  </si>
  <si>
    <t>2464-HAM-422-00153</t>
  </si>
  <si>
    <t>2300 Maple Ave</t>
  </si>
  <si>
    <t>C3Y 9M0</t>
  </si>
  <si>
    <t>2416-OSH-902-00154</t>
  </si>
  <si>
    <t>3931 Lakeshore Rd</t>
  </si>
  <si>
    <t>K7C 8A5</t>
  </si>
  <si>
    <t>2219-BRN-117-00155</t>
  </si>
  <si>
    <t>9633 King St, Unit 2</t>
  </si>
  <si>
    <t>B6X 4X6</t>
  </si>
  <si>
    <t>2320-GUE-623-00156</t>
  </si>
  <si>
    <t>3339 Queen St</t>
  </si>
  <si>
    <t>R9C 4S3</t>
  </si>
  <si>
    <t>David Clark</t>
  </si>
  <si>
    <t>2194-GUE-858-00157</t>
  </si>
  <si>
    <t>2887 King St, Unit 23</t>
  </si>
  <si>
    <t>A2V 5X8</t>
  </si>
  <si>
    <t>Wilson Developments Inc.</t>
  </si>
  <si>
    <t>2164-WDR-378-00158</t>
  </si>
  <si>
    <t>8592 King St</t>
  </si>
  <si>
    <t>C7T 8P0</t>
  </si>
  <si>
    <t>Aisha Anderson</t>
  </si>
  <si>
    <t>2210-GUE-145-00159</t>
  </si>
  <si>
    <t>211 Maple Ave, Suite 13</t>
  </si>
  <si>
    <t>G2B 8S3</t>
  </si>
  <si>
    <t>Liam Clark</t>
  </si>
  <si>
    <t>2396-OTT-153-00160</t>
  </si>
  <si>
    <t>X99</t>
  </si>
  <si>
    <t>2948 Maple Ave</t>
  </si>
  <si>
    <t>B6C 7M4</t>
  </si>
  <si>
    <t>Ella Martin</t>
  </si>
  <si>
    <t>2341-WDR-575-00161</t>
  </si>
  <si>
    <t>6043 Cedar Ave</t>
  </si>
  <si>
    <t>J8K 2A6</t>
  </si>
  <si>
    <t>2158-TOR-969-00162</t>
  </si>
  <si>
    <t>5048 King St, Unit 14</t>
  </si>
  <si>
    <t>V0G 4C0</t>
  </si>
  <si>
    <t>Clark Group Inc.</t>
  </si>
  <si>
    <t>2191-MSS-939-00163</t>
  </si>
  <si>
    <t>6471 King St</t>
  </si>
  <si>
    <t>B6G 3M4</t>
  </si>
  <si>
    <t>Clark Investments Inc.</t>
  </si>
  <si>
    <t>2335-KIN-239-00164</t>
  </si>
  <si>
    <t>9589 King St, Unit 15</t>
  </si>
  <si>
    <t>T5S 1Y5</t>
  </si>
  <si>
    <t>2248-OTT-946-00165</t>
  </si>
  <si>
    <t>9894 Main St, Suite 5</t>
  </si>
  <si>
    <t>C3P 6X0</t>
  </si>
  <si>
    <t>James Jackson</t>
  </si>
  <si>
    <t>2223-BRN-923-00166</t>
  </si>
  <si>
    <t>2300 King St, Unit 5</t>
  </si>
  <si>
    <t>J6P 1L1</t>
  </si>
  <si>
    <t>David Williams</t>
  </si>
  <si>
    <t>2369-HAM-151-00167</t>
  </si>
  <si>
    <t>2762 Cedar Ave</t>
  </si>
  <si>
    <t>R7A 6S2</t>
  </si>
  <si>
    <t>Aisha Taylor</t>
  </si>
  <si>
    <t>2273-HAM-521-00168</t>
  </si>
  <si>
    <t>9032 Lakeshore Rd, Suite 13</t>
  </si>
  <si>
    <t>Thomas Developments Inc.</t>
  </si>
  <si>
    <t>2333-KIN-126-00169</t>
  </si>
  <si>
    <t>5234 Cedar Ave, Suite 2</t>
  </si>
  <si>
    <t>V8P 9K2</t>
  </si>
  <si>
    <t>2432-TOR-280-00170</t>
  </si>
  <si>
    <t>3885 Cedar Ave</t>
  </si>
  <si>
    <t>P9A 5G9</t>
  </si>
  <si>
    <t>2187-MSS-324-00171</t>
  </si>
  <si>
    <t>336 Elm St</t>
  </si>
  <si>
    <t>N9J 2N2</t>
  </si>
  <si>
    <t>2156-GUE-174-00172</t>
  </si>
  <si>
    <t>6130 Park Ave</t>
  </si>
  <si>
    <t>E5M 5G2</t>
  </si>
  <si>
    <t>Liam White</t>
  </si>
  <si>
    <t>2385-KIN-934-00173</t>
  </si>
  <si>
    <t>2882 Wellington St</t>
  </si>
  <si>
    <t>M2H 0R9</t>
  </si>
  <si>
    <t>2128-LON-439-00174</t>
  </si>
  <si>
    <t>1284 Maple Ave</t>
  </si>
  <si>
    <t>N2C 5T0</t>
  </si>
  <si>
    <t>2163-OTT-270-00175</t>
  </si>
  <si>
    <t>6793 Lakeshore Rd</t>
  </si>
  <si>
    <t>P8R 1V9</t>
  </si>
  <si>
    <t>2323-WDR-175-00176</t>
  </si>
  <si>
    <t>5610 Queen St</t>
  </si>
  <si>
    <t>H1Y 1N9</t>
  </si>
  <si>
    <t>2422-HAM-439-00177</t>
  </si>
  <si>
    <t>3377 Maple Ave</t>
  </si>
  <si>
    <t>Y8L 4M3</t>
  </si>
  <si>
    <t>Sophia Patel</t>
  </si>
  <si>
    <t>2321-HAM-401-00178</t>
  </si>
  <si>
    <t>9843 Lakeshore Rd, Unit 7</t>
  </si>
  <si>
    <t>H4C 7E4</t>
  </si>
  <si>
    <t>2458-OTT-478-00179</t>
  </si>
  <si>
    <t>3066 Lakeshore Rd, Suite 15</t>
  </si>
  <si>
    <t>L3L 9B2</t>
  </si>
  <si>
    <t>2259-BRN-938-00180</t>
  </si>
  <si>
    <t>8571 Wellington St</t>
  </si>
  <si>
    <t>V9K 7M1</t>
  </si>
  <si>
    <t>Mary Lee</t>
  </si>
  <si>
    <t>2267-GUE-277-00181</t>
  </si>
  <si>
    <t>2748 Maple Ave</t>
  </si>
  <si>
    <t>G0S 1S3</t>
  </si>
  <si>
    <t>Nguyen Properties Inc.</t>
  </si>
  <si>
    <t>2160-KIN-665-00182</t>
  </si>
  <si>
    <t>5353 Church St</t>
  </si>
  <si>
    <t>A9X 6E6</t>
  </si>
  <si>
    <t>Sarah Clark</t>
  </si>
  <si>
    <t>2396-HAM-420-00201</t>
  </si>
  <si>
    <t>7965 Cedar Ave</t>
  </si>
  <si>
    <t>B2L 6G9</t>
  </si>
  <si>
    <t>Sophia Smith</t>
  </si>
  <si>
    <t>2144-KIN-481-00184</t>
  </si>
  <si>
    <t>341 Victoria Rd</t>
  </si>
  <si>
    <t>M4L 7E3</t>
  </si>
  <si>
    <t>Emma White</t>
  </si>
  <si>
    <t>2137-BRN-943-00185</t>
  </si>
  <si>
    <t>6681 Lakeshore Rd</t>
  </si>
  <si>
    <t>P0X 2C4</t>
  </si>
  <si>
    <t>Sophia Johnson</t>
  </si>
  <si>
    <t>2235-GUE-957-00186</t>
  </si>
  <si>
    <t>954 Maple Ave, Unit 30</t>
  </si>
  <si>
    <t>P3L 5T8</t>
  </si>
  <si>
    <t>Sarah Nguyen</t>
  </si>
  <si>
    <t>2470-MSS-700-00187</t>
  </si>
  <si>
    <t>9043 Victoria Rd</t>
  </si>
  <si>
    <t>L1M 0R0</t>
  </si>
  <si>
    <t>2497-LON-109-00188</t>
  </si>
  <si>
    <t>7777 Queen St</t>
  </si>
  <si>
    <t>A3L 9M4</t>
  </si>
  <si>
    <t>Sophia Jackson</t>
  </si>
  <si>
    <t>9586 King St, Apt 27</t>
  </si>
  <si>
    <t>P8M 4E7</t>
  </si>
  <si>
    <t>James Nguyen</t>
  </si>
  <si>
    <t>2240-WDR-158-00190</t>
  </si>
  <si>
    <t>9840 Wellington St</t>
  </si>
  <si>
    <t>G0V 4L6</t>
  </si>
  <si>
    <t>Mary Patel</t>
  </si>
  <si>
    <t>2495-KIN-467-00191</t>
  </si>
  <si>
    <t>8321 Church St</t>
  </si>
  <si>
    <t>Y2M 1V2</t>
  </si>
  <si>
    <t>Ella White</t>
  </si>
  <si>
    <t>2249-KIN-530-00192</t>
  </si>
  <si>
    <t>5438 Victoria Rd</t>
  </si>
  <si>
    <t>M7E 7B9</t>
  </si>
  <si>
    <t>David Martin</t>
  </si>
  <si>
    <t>2329-OTT-240-00193</t>
  </si>
  <si>
    <t>3291 Victoria Rd</t>
  </si>
  <si>
    <t>T2N 2C7</t>
  </si>
  <si>
    <t>2231-MSS-690-00194</t>
  </si>
  <si>
    <t>2605 Lakeshore Rd</t>
  </si>
  <si>
    <t>C2S 6R6</t>
  </si>
  <si>
    <t>Thomas Holdings Inc.</t>
  </si>
  <si>
    <t>2377-KIN-295-00195</t>
  </si>
  <si>
    <t>303 Park Ave, Apt 8</t>
  </si>
  <si>
    <t>K5M 2E6</t>
  </si>
  <si>
    <t>Fatima Johnson</t>
  </si>
  <si>
    <t>2486-WDR-636-00196</t>
  </si>
  <si>
    <t>5545 Wellington St</t>
  </si>
  <si>
    <t>G5V 5J2</t>
  </si>
  <si>
    <t>2131-HAM-226-00197</t>
  </si>
  <si>
    <t>6016 Park Ave</t>
  </si>
  <si>
    <t>R4Y 9B9</t>
  </si>
  <si>
    <t>Nguyen Holdings Inc.</t>
  </si>
  <si>
    <t>2425-TOR-660-00198</t>
  </si>
  <si>
    <t>4150 Lakeshore Rd</t>
  </si>
  <si>
    <t>J0M 6E8</t>
  </si>
  <si>
    <t>Michael Thomas</t>
  </si>
  <si>
    <t>3264 Cedar Ave, Suite 27</t>
  </si>
  <si>
    <t>X3P 6M2</t>
  </si>
  <si>
    <t>2121-KIN-213-00200</t>
  </si>
  <si>
    <t>9416 Park Ave</t>
  </si>
  <si>
    <t>C8C 1L3</t>
  </si>
  <si>
    <t>6989 King St, Unit 1</t>
  </si>
  <si>
    <t>G2N 5T9</t>
  </si>
  <si>
    <t>2444-OTT-955-00202</t>
  </si>
  <si>
    <t>6329 Lakeshore Rd</t>
  </si>
  <si>
    <t>H1G 0H1</t>
  </si>
  <si>
    <t>Chloe White</t>
  </si>
  <si>
    <t>2488-HAM-129-00203</t>
  </si>
  <si>
    <t>2150 Lakeshore Rd</t>
  </si>
  <si>
    <t>E6T 0C4</t>
  </si>
  <si>
    <t>John Wilson</t>
  </si>
  <si>
    <t>2295-GUE-994-00204</t>
  </si>
  <si>
    <t>5552 Elm St</t>
  </si>
  <si>
    <t>E6K 7P6</t>
  </si>
  <si>
    <t>Ella Clark</t>
  </si>
  <si>
    <t>2431-TOR-176-00205</t>
  </si>
  <si>
    <t>8065 Victoria Rd, Suite 2</t>
  </si>
  <si>
    <t>X3Y 6R3</t>
  </si>
  <si>
    <t>2373-MSS-863-00206</t>
  </si>
  <si>
    <t>301 King St</t>
  </si>
  <si>
    <t>B8Y 0C9</t>
  </si>
  <si>
    <t>2316-LON-936-00207</t>
  </si>
  <si>
    <t>3662 Lakeshore Rd</t>
  </si>
  <si>
    <t>V5T 1E3</t>
  </si>
  <si>
    <t>2315-WDR-268-00208</t>
  </si>
  <si>
    <t>8077 Queen St</t>
  </si>
  <si>
    <t>S1L 9J3</t>
  </si>
  <si>
    <t>Sophia Williams</t>
  </si>
  <si>
    <t>2115-LON-748-00209</t>
  </si>
  <si>
    <t>9657 King St</t>
  </si>
  <si>
    <t>T7X 2V0</t>
  </si>
  <si>
    <t>2226-OSH-206-00210</t>
  </si>
  <si>
    <t>N8R 6K4</t>
  </si>
  <si>
    <t>Olivia Taylor</t>
  </si>
  <si>
    <t>2380-HAM-981-00211</t>
  </si>
  <si>
    <t>5153 Elm St</t>
  </si>
  <si>
    <t>J3M 5G2</t>
  </si>
  <si>
    <t>Olivia Wilson</t>
  </si>
  <si>
    <t>2478-OSH-392-00212</t>
  </si>
  <si>
    <t>6930 Main St</t>
  </si>
  <si>
    <t>A6G 0B3</t>
  </si>
  <si>
    <t>2214-TOR-467-00213</t>
  </si>
  <si>
    <t>7425 King St</t>
  </si>
  <si>
    <t>Y3Y 6K8</t>
  </si>
  <si>
    <t>White Developments Inc.</t>
  </si>
  <si>
    <t>2497-BRN-420-00214</t>
  </si>
  <si>
    <t>9056 Main St, Suite 7</t>
  </si>
  <si>
    <t>T3P 9Y9</t>
  </si>
  <si>
    <t>Daniel Taylor</t>
  </si>
  <si>
    <t>2225-OTT-486-00215</t>
  </si>
  <si>
    <t>675 Wellington St</t>
  </si>
  <si>
    <t>L2H 9L0</t>
  </si>
  <si>
    <t>Michael Smith</t>
  </si>
  <si>
    <t>2383-GUE-663-00216</t>
  </si>
  <si>
    <t>5876 King St</t>
  </si>
  <si>
    <t>N8K 2X1</t>
  </si>
  <si>
    <t>2294-OTT-439-00217</t>
  </si>
  <si>
    <t>5434 Victoria Rd</t>
  </si>
  <si>
    <t>X7Y 0E5</t>
  </si>
  <si>
    <t>Grace Smith</t>
  </si>
  <si>
    <t>2446-BRN-125-00218</t>
  </si>
  <si>
    <t>8478 Victoria Rd</t>
  </si>
  <si>
    <t>X7V 0M3</t>
  </si>
  <si>
    <t>2190-OSH-892-00219</t>
  </si>
  <si>
    <t>3502 Park Ave</t>
  </si>
  <si>
    <t>E3Y 6C2</t>
  </si>
  <si>
    <t>Olivia Smith</t>
  </si>
  <si>
    <t>2139-HAM-364-00220</t>
  </si>
  <si>
    <t>6688 Wellington St</t>
  </si>
  <si>
    <t>R6N 0R1</t>
  </si>
  <si>
    <t>David White</t>
  </si>
  <si>
    <t>2197-OTT-408-00221</t>
  </si>
  <si>
    <t>9947 King St</t>
  </si>
  <si>
    <t>T6R 0V2</t>
  </si>
  <si>
    <t>Michael Wilson</t>
  </si>
  <si>
    <t>2392-WDR-482-00222</t>
  </si>
  <si>
    <t>192 Elm St</t>
  </si>
  <si>
    <t>G1B 0R8</t>
  </si>
  <si>
    <t>2475-KIN-245-00223</t>
  </si>
  <si>
    <t>2647 Queen St, Suite 7</t>
  </si>
  <si>
    <t>E2B 8T8</t>
  </si>
  <si>
    <t>2395-GUE-771-00224</t>
  </si>
  <si>
    <t>3852 King St</t>
  </si>
  <si>
    <t>C3N 7T5</t>
  </si>
  <si>
    <t>Fatima Wilson</t>
  </si>
  <si>
    <t>2331-GUE-104-00225</t>
  </si>
  <si>
    <t>5141 Maple Ave</t>
  </si>
  <si>
    <t>S4P 2N7</t>
  </si>
  <si>
    <t>Noah White</t>
  </si>
  <si>
    <t>2127-OTT-651-00226</t>
  </si>
  <si>
    <t>3228 Church St</t>
  </si>
  <si>
    <t>C1A 8A9</t>
  </si>
  <si>
    <t>Daniel Clark</t>
  </si>
  <si>
    <t>2429-OSH-474-00227</t>
  </si>
  <si>
    <t>6440 Maple Ave</t>
  </si>
  <si>
    <t>M2T 8X1</t>
  </si>
  <si>
    <t>Ethan Smith</t>
  </si>
  <si>
    <t>2232-HAM-679-00228</t>
  </si>
  <si>
    <t>9280 Park Ave</t>
  </si>
  <si>
    <t>G7P 0K7</t>
  </si>
  <si>
    <t>2468-OSH-147-00229</t>
  </si>
  <si>
    <t>663 Park Ave</t>
  </si>
  <si>
    <t>X4L 9Y9</t>
  </si>
  <si>
    <t>2438-OSH-628-00230</t>
  </si>
  <si>
    <t>6659 Victoria Rd</t>
  </si>
  <si>
    <t>P7V 9A8</t>
  </si>
  <si>
    <t>Martin Properties Inc.</t>
  </si>
  <si>
    <t>2256-WDR-716-00231</t>
  </si>
  <si>
    <t>1948 Park Ave, Suite 24</t>
  </si>
  <si>
    <t>E7V 7J9</t>
  </si>
  <si>
    <t>2275-GUE-140-00232</t>
  </si>
  <si>
    <t>9386 Queen St, Suite 30</t>
  </si>
  <si>
    <t>H8R 9A4</t>
  </si>
  <si>
    <t>2286-MSS-246-00233</t>
  </si>
  <si>
    <t>9556 Queen St</t>
  </si>
  <si>
    <t>123 456</t>
  </si>
  <si>
    <t>Grace Thomas</t>
  </si>
  <si>
    <t>2487-TOR-198-00234</t>
  </si>
  <si>
    <t>2916 Lakeshore Rd</t>
  </si>
  <si>
    <t>B8X 1C7</t>
  </si>
  <si>
    <t>Ella Jackson</t>
  </si>
  <si>
    <t>2415-BRN-814-00235</t>
  </si>
  <si>
    <t>8690 Wellington St, Suite 26</t>
  </si>
  <si>
    <t>R5E 6G4</t>
  </si>
  <si>
    <t>Grace Clark</t>
  </si>
  <si>
    <t>2410-GUE-826-00236</t>
  </si>
  <si>
    <t>126 Cedar Ave</t>
  </si>
  <si>
    <t>X0R 3N6</t>
  </si>
  <si>
    <t>2488-WDR-382-00237</t>
  </si>
  <si>
    <t>6521 Maple Ave</t>
  </si>
  <si>
    <t>Y7H 5Y8</t>
  </si>
  <si>
    <t>Fatima Patel</t>
  </si>
  <si>
    <t>2167-BRN-901-00238</t>
  </si>
  <si>
    <t>2660 King St, Suite 26</t>
  </si>
  <si>
    <t>N8B 2R0</t>
  </si>
  <si>
    <t>Jackson Properties Inc.</t>
  </si>
  <si>
    <t>2320-OTT-723-00239</t>
  </si>
  <si>
    <t>628 Wellington St</t>
  </si>
  <si>
    <t>R9X 4B2</t>
  </si>
  <si>
    <t>Emma Smith</t>
  </si>
  <si>
    <t>2286-OSH-622-00240</t>
  </si>
  <si>
    <t>8461 Maple Ave</t>
  </si>
  <si>
    <t>B5K 0H1</t>
  </si>
  <si>
    <t>White Investments Inc.</t>
  </si>
  <si>
    <t>2218-BRN-192-00241</t>
  </si>
  <si>
    <t>9014 Church St</t>
  </si>
  <si>
    <t>Y9P 5L3</t>
  </si>
  <si>
    <t>Daniel Martin</t>
  </si>
  <si>
    <t>2481-WDR-174-00242</t>
  </si>
  <si>
    <t>8253 Church St</t>
  </si>
  <si>
    <t>E8L 8L7</t>
  </si>
  <si>
    <t>Patel Investments Inc.</t>
  </si>
  <si>
    <t>2143-MSS-169-00243</t>
  </si>
  <si>
    <t>6279 Park Ave</t>
  </si>
  <si>
    <t>K3N 6P8</t>
  </si>
  <si>
    <t>2255-KIN-323-00244</t>
  </si>
  <si>
    <t>9409 Church St, Apt 22</t>
  </si>
  <si>
    <t>J7J 3K4</t>
  </si>
  <si>
    <t>2196-HAM-779-00245</t>
  </si>
  <si>
    <t>8081 Cedar Ave, Apt 2</t>
  </si>
  <si>
    <t>V5N 7L7</t>
  </si>
  <si>
    <t>2479-TOR-133-00246</t>
  </si>
  <si>
    <t>8242 Victoria Rd</t>
  </si>
  <si>
    <t>H7E 8T5</t>
  </si>
  <si>
    <t>John Nguyen</t>
  </si>
  <si>
    <t>2343-OTT-291-00247</t>
  </si>
  <si>
    <t>8997 Church St, Suite 20</t>
  </si>
  <si>
    <t>N5H 7S3</t>
  </si>
  <si>
    <t>Noah Anderson</t>
  </si>
  <si>
    <t>2297-MSS-334-00248</t>
  </si>
  <si>
    <t>1646 Church St</t>
  </si>
  <si>
    <t>Y6R 3G2</t>
  </si>
  <si>
    <t>2348-OSH-356-00249</t>
  </si>
  <si>
    <t>9220 Cedar Ave, Unit 23</t>
  </si>
  <si>
    <t>H0J 4V1</t>
  </si>
  <si>
    <t>2325-OSH-459-00250</t>
  </si>
  <si>
    <t>9931 Maple Ave</t>
  </si>
  <si>
    <t>Y2M 5N8</t>
  </si>
  <si>
    <t>Emma Clark</t>
  </si>
  <si>
    <t>2291-WDR-927-00251</t>
  </si>
  <si>
    <t>5537 Wellington St</t>
  </si>
  <si>
    <t>R1C 2N3</t>
  </si>
  <si>
    <t>2376-WDR-561-00252</t>
  </si>
  <si>
    <t>6792 Queen St, Unit 5</t>
  </si>
  <si>
    <t>K4C 3H6</t>
  </si>
  <si>
    <t>2420-TOR-206-00253</t>
  </si>
  <si>
    <t>4310 Cedar Ave, Apt 30</t>
  </si>
  <si>
    <t>R4K 3M7</t>
  </si>
  <si>
    <t>Michael Lee</t>
  </si>
  <si>
    <t>2369-TOR-991-00254</t>
  </si>
  <si>
    <t>8866 Church St</t>
  </si>
  <si>
    <t>G8H 9T9</t>
  </si>
  <si>
    <t>2156-OSH-522-00255</t>
  </si>
  <si>
    <t>4266 Queen St</t>
  </si>
  <si>
    <t>A8G 5M7</t>
  </si>
  <si>
    <t>3099 Wellington St</t>
  </si>
  <si>
    <t>S6K 2R6</t>
  </si>
  <si>
    <t>David Thomas</t>
  </si>
  <si>
    <t>2378-GUE-928-00257</t>
  </si>
  <si>
    <t>4414 Wellington St, Unit 6</t>
  </si>
  <si>
    <t>G4E 7T4</t>
  </si>
  <si>
    <t>Chloe Williams</t>
  </si>
  <si>
    <t>2123-TOR-388-00258</t>
  </si>
  <si>
    <t>4420 Queen St</t>
  </si>
  <si>
    <t>A3C 2A7</t>
  </si>
  <si>
    <t>Liam Taylor</t>
  </si>
  <si>
    <t>2128-KIN-157-00259</t>
  </si>
  <si>
    <t>4376 Wellington St, Suite 6</t>
  </si>
  <si>
    <t>J4R 0E3</t>
  </si>
  <si>
    <t>Emma Williams</t>
  </si>
  <si>
    <t>2136-LON-584-00260</t>
  </si>
  <si>
    <t>6385 Park Ave</t>
  </si>
  <si>
    <t>N2B 8X1</t>
  </si>
  <si>
    <t>2251-LON-115-00261</t>
  </si>
  <si>
    <t>2752 Church St</t>
  </si>
  <si>
    <t>R3A 0V9</t>
  </si>
  <si>
    <t>2192-GUE-257-00262</t>
  </si>
  <si>
    <t>8797 King St, Unit 11</t>
  </si>
  <si>
    <t>Y5T 3A6</t>
  </si>
  <si>
    <t>Michael Taylor</t>
  </si>
  <si>
    <t>2372-MSS-294-00263</t>
  </si>
  <si>
    <t>9294 Queen St</t>
  </si>
  <si>
    <t>N7L 9Y2</t>
  </si>
  <si>
    <t>Michael Martin</t>
  </si>
  <si>
    <t>2491-OSH-618-00264</t>
  </si>
  <si>
    <t>6220 Queen St</t>
  </si>
  <si>
    <t>P9K 5C8</t>
  </si>
  <si>
    <t>Williams Group Inc.</t>
  </si>
  <si>
    <t>2392-HAM-429-00265</t>
  </si>
  <si>
    <t>ABC</t>
  </si>
  <si>
    <t>1819 King St</t>
  </si>
  <si>
    <t>C0G 2B3</t>
  </si>
  <si>
    <t>2338-BRN-720-00266</t>
  </si>
  <si>
    <t>1171 Main St</t>
  </si>
  <si>
    <t>J7C 7B5</t>
  </si>
  <si>
    <t>4989 King St</t>
  </si>
  <si>
    <t>X1E 3Y6</t>
  </si>
  <si>
    <t>2491-HAM-690-00268</t>
  </si>
  <si>
    <t>5874 Park Ave</t>
  </si>
  <si>
    <t>S1H 2Y6</t>
  </si>
  <si>
    <t>Aisha Lee</t>
  </si>
  <si>
    <t>2362-KIN-882-00269</t>
  </si>
  <si>
    <t>7064 Victoria Rd</t>
  </si>
  <si>
    <t>Y3R 8L5</t>
  </si>
  <si>
    <t>2148-WDR-106-00270</t>
  </si>
  <si>
    <t>4930 Maple Ave, Suite 1</t>
  </si>
  <si>
    <t>2248-GUE-194-00271</t>
  </si>
  <si>
    <t>9356 Wellington St</t>
  </si>
  <si>
    <t>J1N 7H7</t>
  </si>
  <si>
    <t>Wilson Group Inc.</t>
  </si>
  <si>
    <t>2183-GUE-490-00272</t>
  </si>
  <si>
    <t>1295 Main St</t>
  </si>
  <si>
    <t>N5S 6E3</t>
  </si>
  <si>
    <t>2182-TOR-253-00273</t>
  </si>
  <si>
    <t>5364 Elm St</t>
  </si>
  <si>
    <t>G0R 7X1</t>
  </si>
  <si>
    <t>Fatima White</t>
  </si>
  <si>
    <t>2416-KIN-661-00274</t>
  </si>
  <si>
    <t>6550 Church St, Apt 14</t>
  </si>
  <si>
    <t>G2V 8J7</t>
  </si>
  <si>
    <t>Daniel Lee</t>
  </si>
  <si>
    <t>2265-OSH-431-00275</t>
  </si>
  <si>
    <t>9447 King St, Suite 14</t>
  </si>
  <si>
    <t>P5J 5P9</t>
  </si>
  <si>
    <t>2439-GUE-304-00276</t>
  </si>
  <si>
    <t>6134 Queen St</t>
  </si>
  <si>
    <t>C1B 3G4</t>
  </si>
  <si>
    <t>2276-KIN-868-00277</t>
  </si>
  <si>
    <t>4247 Elm St</t>
  </si>
  <si>
    <t>Mary Taylor</t>
  </si>
  <si>
    <t>2194-TOR-377-00278</t>
  </si>
  <si>
    <t>5911 King St, Apt 13</t>
  </si>
  <si>
    <t>K6X 1N7</t>
  </si>
  <si>
    <t>2177-MSS-412-00279</t>
  </si>
  <si>
    <t>5475 Lakeshore Rd</t>
  </si>
  <si>
    <t>H0P 5P4</t>
  </si>
  <si>
    <t>2353-BRN-502-00280</t>
  </si>
  <si>
    <t>2258 King St</t>
  </si>
  <si>
    <t>X9K 6K9</t>
  </si>
  <si>
    <t>Fatima Clark</t>
  </si>
  <si>
    <t>2284-OSH-654-00281</t>
  </si>
  <si>
    <t>3324 Queen St</t>
  </si>
  <si>
    <t>X2S 2H5</t>
  </si>
  <si>
    <t>Ella Wilson</t>
  </si>
  <si>
    <t>2362-HAM-521-00282</t>
  </si>
  <si>
    <t>4980 Lakeshore Rd</t>
  </si>
  <si>
    <t>L2J 1G2</t>
  </si>
  <si>
    <t>James Patel</t>
  </si>
  <si>
    <t>2255-GUE-181-00283</t>
  </si>
  <si>
    <t>7818 Queen St</t>
  </si>
  <si>
    <t>V5H 6V7</t>
  </si>
  <si>
    <t>Daniel Williams</t>
  </si>
  <si>
    <t>2235-WDR-875-00284</t>
  </si>
  <si>
    <t>3361 King St, Suite 28</t>
  </si>
  <si>
    <t>V5T 3S6</t>
  </si>
  <si>
    <t>Sophia Wilson</t>
  </si>
  <si>
    <t>2115-OSH-998-00285</t>
  </si>
  <si>
    <t>4035 Elm St</t>
  </si>
  <si>
    <t>B8R 8B3</t>
  </si>
  <si>
    <t>2416-MSS-806-00286</t>
  </si>
  <si>
    <t>8480 Queen St</t>
  </si>
  <si>
    <t>T1X 1H9</t>
  </si>
  <si>
    <t>2185-KIN-829-00287</t>
  </si>
  <si>
    <t>3318 Lakeshore Rd, Suite 23</t>
  </si>
  <si>
    <t>H1C 1T5</t>
  </si>
  <si>
    <t>2415-GUE-886-00288</t>
  </si>
  <si>
    <t>2809 Victoria Rd</t>
  </si>
  <si>
    <t>G2G 2B6</t>
  </si>
  <si>
    <t>Emma Taylor</t>
  </si>
  <si>
    <t>2142-HAM-112-00289</t>
  </si>
  <si>
    <t>7524 Lakeshore Rd</t>
  </si>
  <si>
    <t>Y0V 3J9</t>
  </si>
  <si>
    <t>Emma Thomas</t>
  </si>
  <si>
    <t>2381-LON-939-00290</t>
  </si>
  <si>
    <t>3411 Main St, Unit 21</t>
  </si>
  <si>
    <t>P0G 0M5</t>
  </si>
  <si>
    <t>2216-OTT-941-00432</t>
  </si>
  <si>
    <t>597 King St</t>
  </si>
  <si>
    <t>N5R 1S8</t>
  </si>
  <si>
    <t>Chloe Johnson</t>
  </si>
  <si>
    <t>2499-KIN-314-00292</t>
  </si>
  <si>
    <t>963 King St</t>
  </si>
  <si>
    <t>2490-KIN-609-00293</t>
  </si>
  <si>
    <t>8079 Queen St</t>
  </si>
  <si>
    <t>K4J 0E0</t>
  </si>
  <si>
    <t>Sarah Wilson</t>
  </si>
  <si>
    <t>2181-BRN-925-00294</t>
  </si>
  <si>
    <t>3488 Main St</t>
  </si>
  <si>
    <t>M4C 4M8</t>
  </si>
  <si>
    <t>2134-BRN-438-00295</t>
  </si>
  <si>
    <t>5546 Park Ave</t>
  </si>
  <si>
    <t>2396-TOR-423-00296</t>
  </si>
  <si>
    <t>9106 Elm St, Apt 22</t>
  </si>
  <si>
    <t>N5C 2L0</t>
  </si>
  <si>
    <t>2424-GUE-985-00297</t>
  </si>
  <si>
    <t>5060 Victoria Rd</t>
  </si>
  <si>
    <t>L6C 7K5</t>
  </si>
  <si>
    <t>2121-OTT-554-00298</t>
  </si>
  <si>
    <t>8300 Main St</t>
  </si>
  <si>
    <t>X2J 5V8</t>
  </si>
  <si>
    <t>Olivia Johnson</t>
  </si>
  <si>
    <t>2268-OSH-496-00299</t>
  </si>
  <si>
    <t>8568 King St, Unit 22</t>
  </si>
  <si>
    <t>C5T 0E8</t>
  </si>
  <si>
    <t>2245-LON-645-00300</t>
  </si>
  <si>
    <t>5238 Lakeshore Rd</t>
  </si>
  <si>
    <t>M5V2T6</t>
  </si>
  <si>
    <t>2346-KIN-687-00301</t>
  </si>
  <si>
    <t>4021 Queen St, Apt 29</t>
  </si>
  <si>
    <t>N8T 0G0</t>
  </si>
  <si>
    <t>Mary Brown</t>
  </si>
  <si>
    <t>2285-BRN-744-00302</t>
  </si>
  <si>
    <t>7314 Cedar Ave</t>
  </si>
  <si>
    <t>N3Y 1T9</t>
  </si>
  <si>
    <t>2288-MSS-364-00303</t>
  </si>
  <si>
    <t>5964 Wellington St, Apt 11</t>
  </si>
  <si>
    <t>N7V 0C7</t>
  </si>
  <si>
    <t>2261-KIN-937-00304</t>
  </si>
  <si>
    <t>1762 Victoria Rd</t>
  </si>
  <si>
    <t>Grace Lee</t>
  </si>
  <si>
    <t>2398-BRN-705-00305</t>
  </si>
  <si>
    <t>7073 Wellington St</t>
  </si>
  <si>
    <t>N8K 2C9</t>
  </si>
  <si>
    <t>2461-OSH-171-00306</t>
  </si>
  <si>
    <t>9811 King St</t>
  </si>
  <si>
    <t>R5V 0C3</t>
  </si>
  <si>
    <t>2247-TOR-499-00307</t>
  </si>
  <si>
    <t>9478 Lakeshore Rd, Apt 29</t>
  </si>
  <si>
    <t>N4M 6P1</t>
  </si>
  <si>
    <t>Ethan Thomas</t>
  </si>
  <si>
    <t>2181-TOR-940-00308</t>
  </si>
  <si>
    <t>5895 King St</t>
  </si>
  <si>
    <t>A3S 9R5</t>
  </si>
  <si>
    <t>Sophia Thomas</t>
  </si>
  <si>
    <t>2259-HAM-963-00309</t>
  </si>
  <si>
    <t>5912 Wellington St, Apt 5</t>
  </si>
  <si>
    <t>G0C 0G7</t>
  </si>
  <si>
    <t>2468-MSS-621-00310</t>
  </si>
  <si>
    <t>6958 Elm St</t>
  </si>
  <si>
    <t>R5K 2S9</t>
  </si>
  <si>
    <t>2483-OSH-475-00311</t>
  </si>
  <si>
    <t>558 Main St</t>
  </si>
  <si>
    <t>P1V 1G8</t>
  </si>
  <si>
    <t>2190-OSH-859-00312</t>
  </si>
  <si>
    <t>1289 Park Ave</t>
  </si>
  <si>
    <t>M9B 5Y0</t>
  </si>
  <si>
    <t>Ethan Clark</t>
  </si>
  <si>
    <t>2314-BRN-811-00313</t>
  </si>
  <si>
    <t>9801 Church St</t>
  </si>
  <si>
    <t>L0V 9H9</t>
  </si>
  <si>
    <t>2119-WDR-971-00314</t>
  </si>
  <si>
    <t>4562 Church St, Suite 9</t>
  </si>
  <si>
    <t>L0E 9H9</t>
  </si>
  <si>
    <t>2214-LON-451-00315</t>
  </si>
  <si>
    <t>1392 Queen St</t>
  </si>
  <si>
    <t>G7S 6K7</t>
  </si>
  <si>
    <t>2169-TOR-508-00316</t>
  </si>
  <si>
    <t>7812 Church St</t>
  </si>
  <si>
    <t>Y3R 6V4</t>
  </si>
  <si>
    <t>2178-BRN-752-00317</t>
  </si>
  <si>
    <t>5807 Wellington St</t>
  </si>
  <si>
    <t>L5L 4E4</t>
  </si>
  <si>
    <t>Sophia Martin</t>
  </si>
  <si>
    <t>2333-GUE-420-00318</t>
  </si>
  <si>
    <t>8982 Main St</t>
  </si>
  <si>
    <t>C0S 1X1</t>
  </si>
  <si>
    <t>Noah Williams</t>
  </si>
  <si>
    <t>2117-LON-708-00319</t>
  </si>
  <si>
    <t>3562 Cedar Ave</t>
  </si>
  <si>
    <t>E1G 6H1</t>
  </si>
  <si>
    <t>James Taylor</t>
  </si>
  <si>
    <t>2495-MSS-888-00320</t>
  </si>
  <si>
    <t>5308 Church St, Unit 9</t>
  </si>
  <si>
    <t>B6R 5B4</t>
  </si>
  <si>
    <t>Taylor Properties Inc.</t>
  </si>
  <si>
    <t>2472-LON-211-00321</t>
  </si>
  <si>
    <t>2367 Elm St</t>
  </si>
  <si>
    <t>J9E 7L1</t>
  </si>
  <si>
    <t>2210-TOR-138-00322</t>
  </si>
  <si>
    <t>6407 Church St, Suite 29</t>
  </si>
  <si>
    <t>R9A 8V7</t>
  </si>
  <si>
    <t>2348-MSS-510-00323</t>
  </si>
  <si>
    <t>914 Park Ave</t>
  </si>
  <si>
    <t>C5Y 5C7</t>
  </si>
  <si>
    <t>Fatima Nguyen</t>
  </si>
  <si>
    <t>2259-TOR-209-00324</t>
  </si>
  <si>
    <t>5896 Lakeshore Rd, Apt 15</t>
  </si>
  <si>
    <t>J2B 3A9</t>
  </si>
  <si>
    <t>2412-MSS-137-00325</t>
  </si>
  <si>
    <t>5568 Main St</t>
  </si>
  <si>
    <t>B6E 3X7</t>
  </si>
  <si>
    <t>Jackson Group Inc.</t>
  </si>
  <si>
    <t>2172-LON-769-00326</t>
  </si>
  <si>
    <t>322 Lakeshore Rd</t>
  </si>
  <si>
    <t>B3G 0H0</t>
  </si>
  <si>
    <t>2186-GUE-918-00327</t>
  </si>
  <si>
    <t>3623 King St</t>
  </si>
  <si>
    <t>S5R 5E9</t>
  </si>
  <si>
    <t>Olivia Jackson</t>
  </si>
  <si>
    <t>2225-TOR-380-00328</t>
  </si>
  <si>
    <t>2324 Wellington St, Suite 18</t>
  </si>
  <si>
    <t>H7K 9B2</t>
  </si>
  <si>
    <t>Sophia White</t>
  </si>
  <si>
    <t>2121-OTT-823-00329</t>
  </si>
  <si>
    <t>9737 Church St</t>
  </si>
  <si>
    <t>V2J 2L8</t>
  </si>
  <si>
    <t>2421-GUE-742-00330</t>
  </si>
  <si>
    <t>4944 Victoria Rd</t>
  </si>
  <si>
    <t>Y3J 1X1</t>
  </si>
  <si>
    <t>2129-LON-801-00331</t>
  </si>
  <si>
    <t>7782 Lakeshore Rd, Apt 30</t>
  </si>
  <si>
    <t>B0P 4J6</t>
  </si>
  <si>
    <t>2272-OSH-627-00332</t>
  </si>
  <si>
    <t>1911 King St</t>
  </si>
  <si>
    <t>T9N 6J5</t>
  </si>
  <si>
    <t>2419-BRN-582-00333</t>
  </si>
  <si>
    <t>9596 Lakeshore Rd, Suite 5</t>
  </si>
  <si>
    <t>J9T 2R5</t>
  </si>
  <si>
    <t>Daniel Nguyen</t>
  </si>
  <si>
    <t>2282-LON-161-00334</t>
  </si>
  <si>
    <t>4607 Queen St, Suite 15</t>
  </si>
  <si>
    <t>S2N 3M9</t>
  </si>
  <si>
    <t>Aisha Patel</t>
  </si>
  <si>
    <t>2437-OTT-705-00335</t>
  </si>
  <si>
    <t>7767 Lakeshore Rd</t>
  </si>
  <si>
    <t>S3K 5S9</t>
  </si>
  <si>
    <t>Michael Clark</t>
  </si>
  <si>
    <t>2174-BRN-134-00336</t>
  </si>
  <si>
    <t>6984 Elm St</t>
  </si>
  <si>
    <t>E7V 3C8</t>
  </si>
  <si>
    <t>Liam Williams</t>
  </si>
  <si>
    <t>2149-LON-265-00337</t>
  </si>
  <si>
    <t>7534 Cedar Ave</t>
  </si>
  <si>
    <t>A7T 2R2</t>
  </si>
  <si>
    <t>Anderson Investments Inc.</t>
  </si>
  <si>
    <t>2347-OTT-536-00338</t>
  </si>
  <si>
    <t>J1N 0X5</t>
  </si>
  <si>
    <t>2381-TOR-821-00339</t>
  </si>
  <si>
    <t>1107 Elm St</t>
  </si>
  <si>
    <t>J2N 3Y1</t>
  </si>
  <si>
    <t>2364-KIN-383-00340</t>
  </si>
  <si>
    <t>902 King St</t>
  </si>
  <si>
    <t>T7X 8E7</t>
  </si>
  <si>
    <t>2268-KIN-189-00341</t>
  </si>
  <si>
    <t>1323 Wellington St</t>
  </si>
  <si>
    <t>M1E 2L1</t>
  </si>
  <si>
    <t>2479-TOR-235-00342</t>
  </si>
  <si>
    <t>7774 Victoria Rd</t>
  </si>
  <si>
    <t>A4J 1A3</t>
  </si>
  <si>
    <t>2482-KIN-235-00343</t>
  </si>
  <si>
    <t>5031 Queen St</t>
  </si>
  <si>
    <t>K7P 4B2</t>
  </si>
  <si>
    <t>Emma Johnson</t>
  </si>
  <si>
    <t>2298-OSH-782-00344</t>
  </si>
  <si>
    <t>2524 Queen St, Unit 11</t>
  </si>
  <si>
    <t>G7L 5H3</t>
  </si>
  <si>
    <t>2430-HAM-646-00345</t>
  </si>
  <si>
    <t>4950 King St</t>
  </si>
  <si>
    <t>R7G 7N2</t>
  </si>
  <si>
    <t>2383-WDR-782-00346</t>
  </si>
  <si>
    <t>2419 Cedar Ave</t>
  </si>
  <si>
    <t>T5E 7B2</t>
  </si>
  <si>
    <t>2317-LON-722-00347</t>
  </si>
  <si>
    <t>3207 Cedar Ave</t>
  </si>
  <si>
    <t>L3A 1Y7</t>
  </si>
  <si>
    <t>2156-KIN-507-00348</t>
  </si>
  <si>
    <t>2433 Wellington St</t>
  </si>
  <si>
    <t>P0M 5P4</t>
  </si>
  <si>
    <t>2364-BRN-846-00349</t>
  </si>
  <si>
    <t>6796 Queen St</t>
  </si>
  <si>
    <t>C2J 4V8</t>
  </si>
  <si>
    <t>2381-TOR-573-00350</t>
  </si>
  <si>
    <t>9314 Queen St, Suite 10</t>
  </si>
  <si>
    <t>Y7B 4M7</t>
  </si>
  <si>
    <t>2391-HAM-583-00351</t>
  </si>
  <si>
    <t>2044 Park Ave</t>
  </si>
  <si>
    <t>M6H 7K0</t>
  </si>
  <si>
    <t>James Martin</t>
  </si>
  <si>
    <t>2443-GUE-743-00352</t>
  </si>
  <si>
    <t>7809 King St</t>
  </si>
  <si>
    <t>A4H 9B2</t>
  </si>
  <si>
    <t>2347-KIN-642-00353</t>
  </si>
  <si>
    <t>1268 Elm St, Apt 6</t>
  </si>
  <si>
    <t>E9H 8N5</t>
  </si>
  <si>
    <t>2311-KIN-240-00354</t>
  </si>
  <si>
    <t>8499 Church St</t>
  </si>
  <si>
    <t>V6N 2E3</t>
  </si>
  <si>
    <t>Grace Jackson</t>
  </si>
  <si>
    <t>2119-OSH-219-00355</t>
  </si>
  <si>
    <t>2160 Main St</t>
  </si>
  <si>
    <t>M5G 7X5</t>
  </si>
  <si>
    <t>2249-LON-228-00356</t>
  </si>
  <si>
    <t>3448 Queen St</t>
  </si>
  <si>
    <t>S1C 0V6</t>
  </si>
  <si>
    <t>2442-GUE-144-00357</t>
  </si>
  <si>
    <t>1095 Church St</t>
  </si>
  <si>
    <t>E1J 9J2</t>
  </si>
  <si>
    <t>2374-WDR-899-00358</t>
  </si>
  <si>
    <t>3972 Elm St</t>
  </si>
  <si>
    <t>E9A 8J3</t>
  </si>
  <si>
    <t>Johnson Group Inc.</t>
  </si>
  <si>
    <t>2485-OTT-289-00359</t>
  </si>
  <si>
    <t>7213 Park Ave</t>
  </si>
  <si>
    <t>H5R 6J8</t>
  </si>
  <si>
    <t>2256-MSS-821-00360</t>
  </si>
  <si>
    <t>4733 Elm St</t>
  </si>
  <si>
    <t>C5V 1R4</t>
  </si>
  <si>
    <t>2464-LON-293-00361</t>
  </si>
  <si>
    <t>1150 Lakeshore Rd</t>
  </si>
  <si>
    <t>P2A 7E6</t>
  </si>
  <si>
    <t>2235-GUE-446-00362</t>
  </si>
  <si>
    <t>3291 Cedar Ave</t>
  </si>
  <si>
    <t>R1K 6V4</t>
  </si>
  <si>
    <t>2475-KIN-385-00363</t>
  </si>
  <si>
    <t>2424 Lakeshore Rd, Suite 16</t>
  </si>
  <si>
    <t>V3G 0E0</t>
  </si>
  <si>
    <t>2289-GUE-198-00364</t>
  </si>
  <si>
    <t>1263 Park Ave</t>
  </si>
  <si>
    <t>V7J 4V7</t>
  </si>
  <si>
    <t>2125-OSH-492-00365</t>
  </si>
  <si>
    <t>7384 Victoria Rd</t>
  </si>
  <si>
    <t>T7B 0H8</t>
  </si>
  <si>
    <t>2372-BRN-882-00366</t>
  </si>
  <si>
    <t>1802 Cedar Ave</t>
  </si>
  <si>
    <t>Y8V 7Y2</t>
  </si>
  <si>
    <t>Sophia Taylor</t>
  </si>
  <si>
    <t>2313-GUE-704-00367</t>
  </si>
  <si>
    <t>749 Queen St</t>
  </si>
  <si>
    <t>Noah Thomas</t>
  </si>
  <si>
    <t>2285-LON-186-00368</t>
  </si>
  <si>
    <t>1083 Church St, Unit 1</t>
  </si>
  <si>
    <t>Y5B 7S9</t>
  </si>
  <si>
    <t>2359-GUE-430-00369</t>
  </si>
  <si>
    <t>9390 King St</t>
  </si>
  <si>
    <t>E3N 7X5</t>
  </si>
  <si>
    <t>Fatima Anderson</t>
  </si>
  <si>
    <t>2216-MSS-404-00370</t>
  </si>
  <si>
    <t>9406 Wellington St</t>
  </si>
  <si>
    <t>C9E 9N4</t>
  </si>
  <si>
    <t>Ethan Martin</t>
  </si>
  <si>
    <t>2379-OTT-420-00371</t>
  </si>
  <si>
    <t>3288 Wellington St</t>
  </si>
  <si>
    <t>X7Y 2A8</t>
  </si>
  <si>
    <t>2490-MSS-161-00372</t>
  </si>
  <si>
    <t>8566 Maple Ave</t>
  </si>
  <si>
    <t>G3G 4S6</t>
  </si>
  <si>
    <t>2286-WDR-341-00373</t>
  </si>
  <si>
    <t>6659 Maple Ave, Unit 1</t>
  </si>
  <si>
    <t>K4T 7Y6</t>
  </si>
  <si>
    <t>Mary Williams</t>
  </si>
  <si>
    <t>2332-TOR-759-00374</t>
  </si>
  <si>
    <t>701 Lakeshore Rd</t>
  </si>
  <si>
    <t>B1N 9M1</t>
  </si>
  <si>
    <t>2283-OTT-852-00375</t>
  </si>
  <si>
    <t>8206 King St</t>
  </si>
  <si>
    <t>X4V 1K9</t>
  </si>
  <si>
    <t>Olivia Anderson</t>
  </si>
  <si>
    <t>2232-LON-319-00376</t>
  </si>
  <si>
    <t>4508 Lakeshore Rd</t>
  </si>
  <si>
    <t>B7Y 5E5</t>
  </si>
  <si>
    <t>Chloe Nguyen</t>
  </si>
  <si>
    <t>2449-HAM-121-00377</t>
  </si>
  <si>
    <t>9935 Main St</t>
  </si>
  <si>
    <t>B3L 8R4</t>
  </si>
  <si>
    <t>Noah Clark</t>
  </si>
  <si>
    <t>2460-OSH-361-00378</t>
  </si>
  <si>
    <t>4939 King St</t>
  </si>
  <si>
    <t>K4J 2T5</t>
  </si>
  <si>
    <t>2452-OTT-834-00379</t>
  </si>
  <si>
    <t>6930 King St</t>
  </si>
  <si>
    <t>L8C 5S9</t>
  </si>
  <si>
    <t>2292-TOR-239-00380</t>
  </si>
  <si>
    <t>60 Wellington St, Suite 11</t>
  </si>
  <si>
    <t>C1H 3X2</t>
  </si>
  <si>
    <t>2297-MSS-707-00381</t>
  </si>
  <si>
    <t>5377 Church St, Suite 12</t>
  </si>
  <si>
    <t>H6R 9K0</t>
  </si>
  <si>
    <t>2231-OTT-150-00382</t>
  </si>
  <si>
    <t>6580 Cedar Ave</t>
  </si>
  <si>
    <t>L2C 5H9</t>
  </si>
  <si>
    <t>2234-MSS-982-00383</t>
  </si>
  <si>
    <t>4371 Church St</t>
  </si>
  <si>
    <t>R2S 3J4</t>
  </si>
  <si>
    <t>Daniel Thomas</t>
  </si>
  <si>
    <t>2367-TOR-354-00384</t>
  </si>
  <si>
    <t>6066 Cedar Ave</t>
  </si>
  <si>
    <t>T1A 7G5</t>
  </si>
  <si>
    <t>Thomas Properties Inc.</t>
  </si>
  <si>
    <t>2381-BRN-160-00385</t>
  </si>
  <si>
    <t>863 Victoria Rd</t>
  </si>
  <si>
    <t>V5B 0L8</t>
  </si>
  <si>
    <t>Fatima Thomas</t>
  </si>
  <si>
    <t>2274-OSH-604-00386</t>
  </si>
  <si>
    <t>5567 Lakeshore Rd, Suite 23</t>
  </si>
  <si>
    <t>X6G 4E5</t>
  </si>
  <si>
    <t>2343-KIN-727-00387</t>
  </si>
  <si>
    <t>4331 Elm St</t>
  </si>
  <si>
    <t>H5V 2Y7</t>
  </si>
  <si>
    <t>2265-MSS-218-00388</t>
  </si>
  <si>
    <t>8118 Main St</t>
  </si>
  <si>
    <t>Y7T 7E2</t>
  </si>
  <si>
    <t>2394-HAM-699-00389</t>
  </si>
  <si>
    <t>3489 Cedar Ave</t>
  </si>
  <si>
    <t>A8H 6C3</t>
  </si>
  <si>
    <t>2323-OTT-957-00390</t>
  </si>
  <si>
    <t>5310 Queen St, Suite 27</t>
  </si>
  <si>
    <t>V7L 9A5</t>
  </si>
  <si>
    <t>Nguyen Group Inc.</t>
  </si>
  <si>
    <t>2292-GUE-389-00391</t>
  </si>
  <si>
    <t>5304 Main St</t>
  </si>
  <si>
    <t>Y9R 1R4</t>
  </si>
  <si>
    <t>2493-HAM-257-00392</t>
  </si>
  <si>
    <t>1985 Church St</t>
  </si>
  <si>
    <t>S4G 5E5</t>
  </si>
  <si>
    <t>2464-WDR-930-00393</t>
  </si>
  <si>
    <t>6043 Cedar Ave, Apt 14</t>
  </si>
  <si>
    <t>C0X 5T3</t>
  </si>
  <si>
    <t>2320-OSH-920-00394</t>
  </si>
  <si>
    <t>7835 Church St, Unit 22</t>
  </si>
  <si>
    <t>M3X 6M9</t>
  </si>
  <si>
    <t>2494-OSH-837-00395</t>
  </si>
  <si>
    <t>9323 Church St</t>
  </si>
  <si>
    <t>C8A 1T2</t>
  </si>
  <si>
    <t>2467-WDR-738-00396</t>
  </si>
  <si>
    <t>4352 Victoria Rd</t>
  </si>
  <si>
    <t>H3H 1L1</t>
  </si>
  <si>
    <t>2494-HAM-862-00397</t>
  </si>
  <si>
    <t>9871 Lakeshore Rd</t>
  </si>
  <si>
    <t>P6M 1G2</t>
  </si>
  <si>
    <t>Sarah Jackson</t>
  </si>
  <si>
    <t>2493-TOR-347-00398</t>
  </si>
  <si>
    <t>7149 Park Ave</t>
  </si>
  <si>
    <t>Y3C 4T2</t>
  </si>
  <si>
    <t>2467-MSS-699-00399</t>
  </si>
  <si>
    <t>3985 Maple Ave</t>
  </si>
  <si>
    <t>R0N 0E6</t>
  </si>
  <si>
    <t>2172-OSH-625-00400</t>
  </si>
  <si>
    <t>9693 Cedar Ave</t>
  </si>
  <si>
    <t>V3B 8A6</t>
  </si>
  <si>
    <t>Ella Brown</t>
  </si>
  <si>
    <t>2492-MSS-455-00401</t>
  </si>
  <si>
    <t>7355 Wellington St, Suite 24</t>
  </si>
  <si>
    <t>J7P 7K8</t>
  </si>
  <si>
    <t>2359-MSS-526-00402</t>
  </si>
  <si>
    <t>5912 Lakeshore Rd</t>
  </si>
  <si>
    <t>H9J 4C7</t>
  </si>
  <si>
    <t>Daniel Johnson</t>
  </si>
  <si>
    <t>2381-BRN-148-00403</t>
  </si>
  <si>
    <t>307 Victoria Rd</t>
  </si>
  <si>
    <t>P2H 8B1</t>
  </si>
  <si>
    <t>Sarah Patel</t>
  </si>
  <si>
    <t>2355-LON-887-00404</t>
  </si>
  <si>
    <t>774 Elm St</t>
  </si>
  <si>
    <t>G8E 0T7</t>
  </si>
  <si>
    <t>White Holdings Inc.</t>
  </si>
  <si>
    <t>2115-GUE-619-00405</t>
  </si>
  <si>
    <t>1737 Queen St</t>
  </si>
  <si>
    <t>J5H 4T8</t>
  </si>
  <si>
    <t>2263-HAM-887-00406</t>
  </si>
  <si>
    <t>117 Maple Ave</t>
  </si>
  <si>
    <t>V5M 8H1</t>
  </si>
  <si>
    <t>2427-HAM-921-00407</t>
  </si>
  <si>
    <t>7035 Wellington St</t>
  </si>
  <si>
    <t>T8P 0T2</t>
  </si>
  <si>
    <t>2414-BRN-776-00408</t>
  </si>
  <si>
    <t>2483 Cedar Ave, Apt 23</t>
  </si>
  <si>
    <t>X4S 6Y4</t>
  </si>
  <si>
    <t>2267-OSH-759-00409</t>
  </si>
  <si>
    <t>3370 Elm St</t>
  </si>
  <si>
    <t>T5R 3M1</t>
  </si>
  <si>
    <t>2375-OSH-665-00410</t>
  </si>
  <si>
    <t>5125 Elm St</t>
  </si>
  <si>
    <t>H0A 8L3</t>
  </si>
  <si>
    <t>Taylor Investments Inc.</t>
  </si>
  <si>
    <t>2355-TOR-226-00411</t>
  </si>
  <si>
    <t>792 Park Ave</t>
  </si>
  <si>
    <t>T4A 7N3</t>
  </si>
  <si>
    <t>2246-OSH-782-00412</t>
  </si>
  <si>
    <t>9394 Park Ave, Suite 17</t>
  </si>
  <si>
    <t>K1N 8J5</t>
  </si>
  <si>
    <t>2126-OTT-587-00413</t>
  </si>
  <si>
    <t>3529 Lakeshore Rd, Apt 17</t>
  </si>
  <si>
    <t>R9Y 8R4</t>
  </si>
  <si>
    <t>2272-BRN-828-00414</t>
  </si>
  <si>
    <t>7509 Queen St</t>
  </si>
  <si>
    <t>X8E 3T7</t>
  </si>
  <si>
    <t>2183-GUE-396-00415</t>
  </si>
  <si>
    <t>669 Elm St, Suite 10</t>
  </si>
  <si>
    <t>P4M 7A2</t>
  </si>
  <si>
    <t>2272-WDR-102-00416</t>
  </si>
  <si>
    <t>2014 Elm St</t>
  </si>
  <si>
    <t>B6V 9M9</t>
  </si>
  <si>
    <t>2495-HAM-559-00417</t>
  </si>
  <si>
    <t>2450 Victoria Rd, Apt 22</t>
  </si>
  <si>
    <t>S6K 6N8</t>
  </si>
  <si>
    <t>Emma Wilson</t>
  </si>
  <si>
    <t>2325-HAM-759-00418</t>
  </si>
  <si>
    <t>9174 King St, Apt 18</t>
  </si>
  <si>
    <t>B9X 3V8</t>
  </si>
  <si>
    <t>2284-WDR-554-00419</t>
  </si>
  <si>
    <t>1396 Elm St</t>
  </si>
  <si>
    <t>R9B 7A5</t>
  </si>
  <si>
    <t>2122-BRN-654-00420</t>
  </si>
  <si>
    <t>2765 Church St, Suite 25</t>
  </si>
  <si>
    <t>C2M 6H0</t>
  </si>
  <si>
    <t>2162-WDR-431-00421</t>
  </si>
  <si>
    <t>4235 Wellington St</t>
  </si>
  <si>
    <t>E0J 3K7</t>
  </si>
  <si>
    <t>2418-TOR-595-00422</t>
  </si>
  <si>
    <t>483 Wellington St</t>
  </si>
  <si>
    <t>A4Y 9E3</t>
  </si>
  <si>
    <t>2228-OTT-482-00423</t>
  </si>
  <si>
    <t>8864 Queen St</t>
  </si>
  <si>
    <t>Y6Y 7B0</t>
  </si>
  <si>
    <t>2442-TOR-959-00424</t>
  </si>
  <si>
    <t>6238 Victoria Rd</t>
  </si>
  <si>
    <t>J9X 4B2</t>
  </si>
  <si>
    <t>2336-OTT-725-00425</t>
  </si>
  <si>
    <t>8280 Victoria Rd</t>
  </si>
  <si>
    <t>N4T 4K5</t>
  </si>
  <si>
    <t>Emma Patel</t>
  </si>
  <si>
    <t>2411-HAM-788-00426</t>
  </si>
  <si>
    <t>2853 Wellington St</t>
  </si>
  <si>
    <t>V6Y 1C8</t>
  </si>
  <si>
    <t>2499-GUE-108-00427</t>
  </si>
  <si>
    <t>2054 Lakeshore Rd</t>
  </si>
  <si>
    <t>J7A 3A4</t>
  </si>
  <si>
    <t>2256-WDR-137-00428</t>
  </si>
  <si>
    <t>4609 Lakeshore Rd</t>
  </si>
  <si>
    <t>J0J 6E4</t>
  </si>
  <si>
    <t>2226-OTT-365-00429</t>
  </si>
  <si>
    <t>9347 Maple Ave</t>
  </si>
  <si>
    <t>L3A 8L8</t>
  </si>
  <si>
    <t>2497-KIN-630-00430</t>
  </si>
  <si>
    <t>7654 Lakeshore Rd</t>
  </si>
  <si>
    <t>B3B 4S8</t>
  </si>
  <si>
    <t>John Thomas</t>
  </si>
  <si>
    <t>2264-GUE-176-00431</t>
  </si>
  <si>
    <t>4105 Maple Ave, Suite 3</t>
  </si>
  <si>
    <t>E0V 6A9</t>
  </si>
  <si>
    <t>Clark Developments Inc.</t>
  </si>
  <si>
    <t>5475 Elm St</t>
  </si>
  <si>
    <t>C9T 1T9</t>
  </si>
  <si>
    <t>2166-OTT-156-00433</t>
  </si>
  <si>
    <t>4949 Cedar Ave</t>
  </si>
  <si>
    <t>C1B 8B4</t>
  </si>
  <si>
    <t>2169-LON-914-00434</t>
  </si>
  <si>
    <t>7024 Cedar Ave</t>
  </si>
  <si>
    <t>N0T 8N9</t>
  </si>
  <si>
    <t>2242-GUE-463-00435</t>
  </si>
  <si>
    <t>6907 Lakeshore Rd</t>
  </si>
  <si>
    <t>T2K 2B0</t>
  </si>
  <si>
    <t>Liam Lee</t>
  </si>
  <si>
    <t>2249-WDR-717-00436</t>
  </si>
  <si>
    <t>5628 Church St</t>
  </si>
  <si>
    <t>A8G 0K8</t>
  </si>
  <si>
    <t>2195-LON-587-00437</t>
  </si>
  <si>
    <t>7667 Cedar Ave</t>
  </si>
  <si>
    <t>N9M 6N2</t>
  </si>
  <si>
    <t>2440-LON-592-00438</t>
  </si>
  <si>
    <t>5441 Wellington St, Unit 27</t>
  </si>
  <si>
    <t>A5A 1P0</t>
  </si>
  <si>
    <t>2135-GUE-302-00439</t>
  </si>
  <si>
    <t>4664 Queen St, Suite 24</t>
  </si>
  <si>
    <t>H5Y 3H3</t>
  </si>
  <si>
    <t>2349-BRN-567-00440</t>
  </si>
  <si>
    <t>3944 Victoria Rd</t>
  </si>
  <si>
    <t>H8S 1E2</t>
  </si>
  <si>
    <t>Johnson Properties Inc.</t>
  </si>
  <si>
    <t>2441-KIN-147-00441</t>
  </si>
  <si>
    <t>9632 Maple Ave</t>
  </si>
  <si>
    <t>M2N 3B4</t>
  </si>
  <si>
    <t>2488-LON-166-00442</t>
  </si>
  <si>
    <t>2753 Elm St</t>
  </si>
  <si>
    <t>Noah Lee</t>
  </si>
  <si>
    <t>2391-MSS-909-00443</t>
  </si>
  <si>
    <t>9577 Park Ave, Unit 29</t>
  </si>
  <si>
    <t>J7K 6J4</t>
  </si>
  <si>
    <t>2120-KIN-402-00444</t>
  </si>
  <si>
    <t>7292 Elm St</t>
  </si>
  <si>
    <t>B7X 9N6</t>
  </si>
  <si>
    <t>Liam Thomas</t>
  </si>
  <si>
    <t>2466-KIN-339-00445</t>
  </si>
  <si>
    <t>4361 Park Ave, Unit 10</t>
  </si>
  <si>
    <t>X8Y 1L3</t>
  </si>
  <si>
    <t>2397-KIN-965-00446</t>
  </si>
  <si>
    <t>4506 Maple Ave</t>
  </si>
  <si>
    <t>G8L 0M4</t>
  </si>
  <si>
    <t>2429-GUE-986-00447</t>
  </si>
  <si>
    <t>6522 Maple Ave, Apt 7</t>
  </si>
  <si>
    <t>V3X 9Y7</t>
  </si>
  <si>
    <t>2467-LON-973-00448</t>
  </si>
  <si>
    <t>9159 Main St</t>
  </si>
  <si>
    <t>G4A 7P5</t>
  </si>
  <si>
    <t>2382-OSH-904-00449</t>
  </si>
  <si>
    <t>537 Queen St, Suite 19</t>
  </si>
  <si>
    <t>R6J 6C8</t>
  </si>
  <si>
    <t>2280-WDR-281-00450</t>
  </si>
  <si>
    <t>535 Cedar Ave</t>
  </si>
  <si>
    <t>H3C 6M3</t>
  </si>
  <si>
    <t>2262-OSH-500-00451</t>
  </si>
  <si>
    <t>2582 King St, Suite 16</t>
  </si>
  <si>
    <t>C6J 2J4</t>
  </si>
  <si>
    <t>2410-GUE-246-00452</t>
  </si>
  <si>
    <t>7312 King St</t>
  </si>
  <si>
    <t>K8N 9V7</t>
  </si>
  <si>
    <t>Mary Wilson</t>
  </si>
  <si>
    <t>2332-MSS-525-00453</t>
  </si>
  <si>
    <t>4091 Queen St</t>
  </si>
  <si>
    <t>S7R 2E6</t>
  </si>
  <si>
    <t>2318-WDR-814-00454</t>
  </si>
  <si>
    <t>3569 Lakeshore Rd</t>
  </si>
  <si>
    <t>Y1P 1E8</t>
  </si>
  <si>
    <t>2119-LON-754-00455</t>
  </si>
  <si>
    <t>7577 Wellington St</t>
  </si>
  <si>
    <t>R3R 0A4</t>
  </si>
  <si>
    <t>2194-MSS-348-00456</t>
  </si>
  <si>
    <t>7181 Queen St</t>
  </si>
  <si>
    <t>L2H 0E2</t>
  </si>
  <si>
    <t>2232-TOR-321-00457</t>
  </si>
  <si>
    <t>574 Park Ave</t>
  </si>
  <si>
    <t>T0X 1R4</t>
  </si>
  <si>
    <t>2212-LON-531-00458</t>
  </si>
  <si>
    <t>467 Main St</t>
  </si>
  <si>
    <t>J1K 1H2</t>
  </si>
  <si>
    <t>2260-OSH-538-00459</t>
  </si>
  <si>
    <t>1989 Maple Ave, Suite 11</t>
  </si>
  <si>
    <t>H0R 5A6</t>
  </si>
  <si>
    <t>2137-GUE-520-00460</t>
  </si>
  <si>
    <t>4950 Cedar Ave</t>
  </si>
  <si>
    <t>E8H 4E9</t>
  </si>
  <si>
    <t>2395-KIN-593-00461</t>
  </si>
  <si>
    <t>1116 Victoria Rd, Apt 15</t>
  </si>
  <si>
    <t>R8K 8A3</t>
  </si>
  <si>
    <t>2157-LON-610-00462</t>
  </si>
  <si>
    <t>4869 Maple Ave, Unit 21</t>
  </si>
  <si>
    <t>B3T 5G4</t>
  </si>
  <si>
    <t>2252-WDR-450-00463</t>
  </si>
  <si>
    <t>3979 Maple Ave</t>
  </si>
  <si>
    <t>K3R 8N2</t>
  </si>
  <si>
    <t>2226-LON-193-00464</t>
  </si>
  <si>
    <t>2855 Cedar Ave</t>
  </si>
  <si>
    <t>J3X 1S7</t>
  </si>
  <si>
    <t>2435-WDR-378-00465</t>
  </si>
  <si>
    <t>7893 King St</t>
  </si>
  <si>
    <t>P6R 2V7</t>
  </si>
  <si>
    <t>2448-TOR-709-00466</t>
  </si>
  <si>
    <t>8811 Queen St</t>
  </si>
  <si>
    <t>H4R 7M7</t>
  </si>
  <si>
    <t>Ella Patel</t>
  </si>
  <si>
    <t>2234-HAM-104-00467</t>
  </si>
  <si>
    <t>220 Elm St</t>
  </si>
  <si>
    <t>P7R 6R5</t>
  </si>
  <si>
    <t>2182-BRN-266-00468</t>
  </si>
  <si>
    <t>3192 Wellington St</t>
  </si>
  <si>
    <t>P8V 5B6</t>
  </si>
  <si>
    <t>2268-KIN-797-00469</t>
  </si>
  <si>
    <t>2424 Church St, Apt 22</t>
  </si>
  <si>
    <t>H0E 1R6</t>
  </si>
  <si>
    <t>2374-HAM-645-00470</t>
  </si>
  <si>
    <t>6281 Cedar Ave</t>
  </si>
  <si>
    <t>S1E 9P2</t>
  </si>
  <si>
    <t>2210-WDR-199-00471</t>
  </si>
  <si>
    <t>1154 Wellington St</t>
  </si>
  <si>
    <t>M6H 2P2</t>
  </si>
  <si>
    <t>2217-MSS-867-00472</t>
  </si>
  <si>
    <t>3003 Maple Ave</t>
  </si>
  <si>
    <t>S7E 2C4</t>
  </si>
  <si>
    <t>2422-GUE-109-00473</t>
  </si>
  <si>
    <t>1010 Church St</t>
  </si>
  <si>
    <t>A9B 1J8</t>
  </si>
  <si>
    <t>2353-MSS-479-00474</t>
  </si>
  <si>
    <t>5630 Victoria Rd</t>
  </si>
  <si>
    <t>P6R 9B5</t>
  </si>
  <si>
    <t>2177-BRN-386-00475</t>
  </si>
  <si>
    <t>4082 Victoria Rd</t>
  </si>
  <si>
    <t>V8S 3A5</t>
  </si>
  <si>
    <t>2488-MSS-913-00476</t>
  </si>
  <si>
    <t>1343 Victoria Rd</t>
  </si>
  <si>
    <t>V1R 4J2</t>
  </si>
  <si>
    <t>2221-OSH-408-00477</t>
  </si>
  <si>
    <t>9000 Lakeshore Rd, Suite 4</t>
  </si>
  <si>
    <t>V8K 3J2</t>
  </si>
  <si>
    <t>2438-HAM-836-00478</t>
  </si>
  <si>
    <t>4230 Park Ave</t>
  </si>
  <si>
    <t>E2Y 7C5</t>
  </si>
  <si>
    <t>2458-OTT-769-00479</t>
  </si>
  <si>
    <t>9216 Wellington St</t>
  </si>
  <si>
    <t>2383-KIN-854-00480</t>
  </si>
  <si>
    <t>37 Church St, Apt 7</t>
  </si>
  <si>
    <t>R6N 5G8</t>
  </si>
  <si>
    <t>2247-MSS-957-00481</t>
  </si>
  <si>
    <t>3596 Lakeshore Rd</t>
  </si>
  <si>
    <t>G9M 2B9</t>
  </si>
  <si>
    <t>Ethan Wilson</t>
  </si>
  <si>
    <t>2358-LON-160-00482</t>
  </si>
  <si>
    <t>5468 Queen St</t>
  </si>
  <si>
    <t>J3B 2V6</t>
  </si>
  <si>
    <t>Aisha Smith</t>
  </si>
  <si>
    <t>2360-BRN-173-00483</t>
  </si>
  <si>
    <t>8658 Church St</t>
  </si>
  <si>
    <t>J8R 1G5</t>
  </si>
  <si>
    <t>Mary Jackson</t>
  </si>
  <si>
    <t>2382 Maple Ave, Apt 7</t>
  </si>
  <si>
    <t>A5E 2R6</t>
  </si>
  <si>
    <t>2175-MSS-765-00485</t>
  </si>
  <si>
    <t>5555 Cedar Ave</t>
  </si>
  <si>
    <t>G6K 0E3</t>
  </si>
  <si>
    <t>2493-BRN-491-00486</t>
  </si>
  <si>
    <t>4519 Park Ave</t>
  </si>
  <si>
    <t>P0E 1C1</t>
  </si>
  <si>
    <t>Ethan Williams</t>
  </si>
  <si>
    <t>2322-GUE-913-00487</t>
  </si>
  <si>
    <t>9723 Queen St</t>
  </si>
  <si>
    <t>S4G 1N1</t>
  </si>
  <si>
    <t>2484-TOR-651-00488</t>
  </si>
  <si>
    <t>2043 Maple Ave</t>
  </si>
  <si>
    <t>E2H 0Y7</t>
  </si>
  <si>
    <t>Brown Holdings Inc.</t>
  </si>
  <si>
    <t>2314-HAM-186-00489</t>
  </si>
  <si>
    <t>2053 Elm St</t>
  </si>
  <si>
    <t>Y2S 0K4</t>
  </si>
  <si>
    <t>2298-OSH-420-00490</t>
  </si>
  <si>
    <t>8573 Victoria Rd</t>
  </si>
  <si>
    <t>X3E 0K0</t>
  </si>
  <si>
    <t>Fatima Jackson</t>
  </si>
  <si>
    <t>2245-GUE-231-00491</t>
  </si>
  <si>
    <t>6924 King St</t>
  </si>
  <si>
    <t>L6H 6T1</t>
  </si>
  <si>
    <t>2144-OSH-748-00492</t>
  </si>
  <si>
    <t>3166 Victoria Rd</t>
  </si>
  <si>
    <t>X9H 6G5</t>
  </si>
  <si>
    <t>Thomas Investments Inc.</t>
  </si>
  <si>
    <t>2197-OTT-661-00493</t>
  </si>
  <si>
    <t>6674 King St</t>
  </si>
  <si>
    <t>C5N 4G3</t>
  </si>
  <si>
    <t>2149-BRN-702-00494</t>
  </si>
  <si>
    <t>8031 King St</t>
  </si>
  <si>
    <t>M8L 9E0</t>
  </si>
  <si>
    <t>2426-OSH-365-00495</t>
  </si>
  <si>
    <t>165 Park Ave</t>
  </si>
  <si>
    <t>G2G 6L0</t>
  </si>
  <si>
    <t>2455-GUE-917-00496</t>
  </si>
  <si>
    <t>7688 Elm St</t>
  </si>
  <si>
    <t>S8K 4C4</t>
  </si>
  <si>
    <t>2117-OTT-186-00497</t>
  </si>
  <si>
    <t>4693 Elm St</t>
  </si>
  <si>
    <t>A6X 2V7</t>
  </si>
  <si>
    <t>2199-GUE-647-00498</t>
  </si>
  <si>
    <t>5663 Maple Ave</t>
  </si>
  <si>
    <t>X9B 9T2</t>
  </si>
  <si>
    <t>2364-KIN-607-00499</t>
  </si>
  <si>
    <t>6221 Queen St</t>
  </si>
  <si>
    <t>E5K 8E4</t>
  </si>
  <si>
    <t>2292-GUE-627-00500</t>
  </si>
  <si>
    <t>590 Lakeshore Rd</t>
  </si>
  <si>
    <t>V0P 0T5</t>
  </si>
  <si>
    <t>Description</t>
  </si>
  <si>
    <t>Single-family and multi-unit homes</t>
  </si>
  <si>
    <t>Business properties and retail</t>
  </si>
  <si>
    <t>Manufacturing and warehousing</t>
  </si>
  <si>
    <t>Farms and rural properties</t>
  </si>
  <si>
    <t>Apartment buildings and multi-tenant residential</t>
  </si>
  <si>
    <t>Roll_Count</t>
  </si>
  <si>
    <t>Expected_Municipality_Name</t>
  </si>
  <si>
    <t>Expected_Tax_Rate</t>
  </si>
  <si>
    <t>Property_Class_Description</t>
  </si>
  <si>
    <t>Municipality_Code_Check</t>
  </si>
  <si>
    <t>Municipality_Name_Check</t>
  </si>
  <si>
    <t>Tax_Check</t>
  </si>
  <si>
    <t>Duplicate_Check</t>
  </si>
  <si>
    <t>Postal_Code_Check</t>
  </si>
  <si>
    <t>Sale_Date_Check</t>
  </si>
  <si>
    <t>Completeness_Check</t>
  </si>
  <si>
    <t>Outlier_Check</t>
  </si>
  <si>
    <t>Overall_Status</t>
  </si>
  <si>
    <t>Valid</t>
  </si>
  <si>
    <t>Match</t>
  </si>
  <si>
    <t>Unique</t>
  </si>
  <si>
    <t>Complete</t>
  </si>
  <si>
    <t>Invalid</t>
  </si>
  <si>
    <t>Issue</t>
  </si>
  <si>
    <t>Duplicate</t>
  </si>
  <si>
    <t>Mismatch</t>
  </si>
  <si>
    <t>Mean_Assessed_Value</t>
  </si>
  <si>
    <t>StdDev_Assessed_Value</t>
  </si>
  <si>
    <t>JoinKey</t>
  </si>
  <si>
    <t>Property_Class_Check</t>
  </si>
  <si>
    <t>Normal</t>
  </si>
  <si>
    <t>Outlier</t>
  </si>
  <si>
    <t>Issue_Reason</t>
  </si>
  <si>
    <t>Invalid Postal Code</t>
  </si>
  <si>
    <t>Duplicate Roll Number</t>
  </si>
  <si>
    <t>Invalid Sale Date</t>
  </si>
  <si>
    <t>Municipality Name Mismatch</t>
  </si>
  <si>
    <t>Tax Mismatch</t>
  </si>
  <si>
    <t>Invalid Property Class, Tax Mismatch</t>
  </si>
  <si>
    <t>Outlier Assessed Value</t>
  </si>
  <si>
    <t>Invalid Municipality Code, Municipality Name Mismatch, Tax Mismatch</t>
  </si>
  <si>
    <t>Tax Mismatch, Outlier Assessed Value</t>
  </si>
  <si>
    <t>KPI</t>
  </si>
  <si>
    <t>Formula</t>
  </si>
  <si>
    <t>Total Records</t>
  </si>
  <si>
    <t>Records with Issues</t>
  </si>
  <si>
    <t>Valid Records</t>
  </si>
  <si>
    <t>Duplicate Roll Numbers</t>
  </si>
  <si>
    <t>Tax Mismatches</t>
  </si>
  <si>
    <t>Outliers</t>
  </si>
  <si>
    <t>Incomplete Records</t>
  </si>
  <si>
    <t>Invalid Municipality Code</t>
  </si>
  <si>
    <t>Row Labels</t>
  </si>
  <si>
    <t>Grand Total</t>
  </si>
  <si>
    <t>Count of Roll_Number</t>
  </si>
  <si>
    <t>Issue Type</t>
  </si>
  <si>
    <t>Invalid Property Class</t>
  </si>
  <si>
    <t>Incomplete Record</t>
  </si>
  <si>
    <t>Number</t>
  </si>
  <si>
    <t>Sum of Number</t>
  </si>
  <si>
    <t>Sum of Assessed_Value</t>
  </si>
  <si>
    <t>Average of Assessed_Value</t>
  </si>
  <si>
    <t>`</t>
  </si>
  <si>
    <t>Synthetic/Simulated 500-record dataset for practicing data quality validation, exception reporting, and dashboarding for property tax and assessment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</si>
</sst>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
    <numFmt numFmtId="166" formatCode="0.0000"/>
    <numFmt numFmtId="167" formatCode="\$#,##0.00"/>
    <numFmt numFmtId="175" formatCode="&quot;$&quot;#,##0"/>
  </numFmts>
  <fonts count="12">
    <font>
      <sz val="11"/>
      <color theme="1"/>
      <name val="Calibri"/>
      <family val="2"/>
      <scheme val="minor"/>
    </font>
    <font>
      <b/>
      <sz val="16"/>
      <name val="Calibri"/>
    </font>
    <font>
      <b/>
      <sz val="11"/>
      <name val="Calibri"/>
    </font>
    <font>
      <b/>
      <sz val="11"/>
      <color rgb="FFFFFFFF"/>
      <name val="Calibri"/>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8"/>
      <color theme="1"/>
      <name val="Segoe UI"/>
      <family val="2"/>
    </font>
    <font>
      <sz val="10"/>
      <color theme="1"/>
      <name val="Arial Unicode MS"/>
    </font>
    <font>
      <sz val="11"/>
      <color rgb="FFFFC000"/>
      <name val="Calibri"/>
      <family val="2"/>
      <scheme val="minor"/>
    </font>
    <font>
      <sz val="11"/>
      <color rgb="FF7030A0"/>
      <name val="Calibri"/>
      <family val="2"/>
      <scheme val="minor"/>
    </font>
  </fonts>
  <fills count="7">
    <fill>
      <patternFill patternType="none"/>
    </fill>
    <fill>
      <patternFill patternType="gray125"/>
    </fill>
    <fill>
      <patternFill patternType="solid">
        <fgColor rgb="FFD9EAF7"/>
      </patternFill>
    </fill>
    <fill>
      <patternFill patternType="solid">
        <fgColor rgb="FF1F4E78"/>
      </patternFill>
    </fill>
    <fill>
      <patternFill patternType="solid">
        <fgColor theme="4" tint="0.79998168889431442"/>
        <bgColor theme="4" tint="0.79998168889431442"/>
      </patternFill>
    </fill>
    <fill>
      <patternFill patternType="solid">
        <fgColor theme="4" tint="-0.249977111117893"/>
        <bgColor theme="4" tint="-0.249977111117893"/>
      </patternFill>
    </fill>
    <fill>
      <patternFill patternType="solid">
        <fgColor theme="4" tint="0.39997558519241921"/>
        <bgColor theme="4" tint="0.39997558519241921"/>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top/>
      <bottom style="thin">
        <color theme="4" tint="0.79998168889431442"/>
      </bottom>
      <diagonal/>
    </border>
    <border>
      <left/>
      <right/>
      <top style="thin">
        <color theme="4" tint="0.79998168889431442"/>
      </top>
      <bottom style="thin">
        <color theme="4" tint="0.39997558519241921"/>
      </bottom>
      <diagonal/>
    </border>
    <border>
      <left/>
      <right/>
      <top style="thin">
        <color theme="4" tint="0.79998168889431442"/>
      </top>
      <bottom style="thin">
        <color theme="4"/>
      </bottom>
      <diagonal/>
    </border>
    <border>
      <left/>
      <right/>
      <top style="thin">
        <color theme="4" tint="0.79998168889431442"/>
      </top>
      <bottom style="thin">
        <color theme="4" tint="0.79998168889431442"/>
      </bottom>
      <diagonal/>
    </border>
    <border>
      <left/>
      <right/>
      <top style="thin">
        <color theme="4" tint="0.39997558519241921"/>
      </top>
      <bottom style="thin">
        <color theme="4" tint="0.79998168889431442"/>
      </bottom>
      <diagonal/>
    </border>
    <border>
      <left/>
      <right/>
      <top style="thin">
        <color theme="4" tint="0.79998168889431442"/>
      </top>
      <bottom/>
      <diagonal/>
    </border>
  </borders>
  <cellStyleXfs count="2">
    <xf numFmtId="0" fontId="0" fillId="0" borderId="0"/>
    <xf numFmtId="9" fontId="4" fillId="0" borderId="0" applyFont="0" applyFill="0" applyBorder="0" applyAlignment="0" applyProtection="0"/>
  </cellStyleXfs>
  <cellXfs count="35">
    <xf numFmtId="0" fontId="0" fillId="0" borderId="0" xfId="0"/>
    <xf numFmtId="0" fontId="1" fillId="0" borderId="0" xfId="0" applyFont="1"/>
    <xf numFmtId="0" fontId="2" fillId="2" borderId="0" xfId="0" applyFont="1" applyFill="1"/>
    <xf numFmtId="0" fontId="3" fillId="3" borderId="1" xfId="0" applyFont="1" applyFill="1" applyBorder="1" applyAlignment="1">
      <alignment horizontal="center" vertical="center"/>
    </xf>
    <xf numFmtId="165" fontId="0" fillId="0" borderId="0" xfId="0" applyNumberFormat="1"/>
    <xf numFmtId="166" fontId="0" fillId="0" borderId="0" xfId="0" applyNumberFormat="1"/>
    <xf numFmtId="167" fontId="0" fillId="0" borderId="0" xfId="0" applyNumberFormat="1"/>
    <xf numFmtId="164" fontId="0" fillId="0" borderId="0" xfId="0" applyNumberFormat="1"/>
    <xf numFmtId="14" fontId="0" fillId="0" borderId="0" xfId="0" applyNumberFormat="1"/>
    <xf numFmtId="0" fontId="0" fillId="0" borderId="0" xfId="0" applyNumberFormat="1"/>
    <xf numFmtId="3" fontId="0" fillId="0" borderId="0" xfId="0" applyNumberFormat="1"/>
    <xf numFmtId="0" fontId="6" fillId="0" borderId="0" xfId="0" applyFont="1"/>
    <xf numFmtId="0" fontId="8" fillId="0" borderId="0" xfId="0" applyFont="1" applyAlignment="1">
      <alignment horizontal="center" vertical="center"/>
    </xf>
    <xf numFmtId="0" fontId="0" fillId="0" borderId="0" xfId="0" pivotButton="1"/>
    <xf numFmtId="0" fontId="0" fillId="0" borderId="0" xfId="0" applyAlignment="1">
      <alignment horizontal="left"/>
    </xf>
    <xf numFmtId="0" fontId="6" fillId="0" borderId="0" xfId="0" applyFont="1" applyAlignment="1">
      <alignment horizontal="center" vertical="center" wrapText="1"/>
    </xf>
    <xf numFmtId="0" fontId="0" fillId="0" borderId="0" xfId="0" applyAlignment="1">
      <alignment vertical="center" wrapText="1"/>
    </xf>
    <xf numFmtId="0" fontId="9" fillId="0" borderId="0" xfId="0" applyFont="1" applyAlignment="1">
      <alignment vertical="center" wrapText="1"/>
    </xf>
    <xf numFmtId="2" fontId="8" fillId="0" borderId="0" xfId="1" applyNumberFormat="1" applyFont="1" applyAlignment="1">
      <alignment horizontal="center" vertical="center"/>
    </xf>
    <xf numFmtId="49" fontId="0" fillId="0" borderId="0" xfId="0" applyNumberFormat="1"/>
    <xf numFmtId="175" fontId="0" fillId="0" borderId="0" xfId="0" applyNumberFormat="1"/>
    <xf numFmtId="49" fontId="0" fillId="0" borderId="0" xfId="0" applyNumberFormat="1" applyAlignment="1">
      <alignment wrapText="1"/>
    </xf>
    <xf numFmtId="0" fontId="7" fillId="5" borderId="2" xfId="0" applyFont="1" applyFill="1" applyBorder="1"/>
    <xf numFmtId="49" fontId="7" fillId="6" borderId="3" xfId="0" applyNumberFormat="1" applyFont="1" applyFill="1" applyBorder="1"/>
    <xf numFmtId="49" fontId="0" fillId="4" borderId="4" xfId="0" applyNumberFormat="1" applyFont="1" applyFill="1" applyBorder="1"/>
    <xf numFmtId="49" fontId="0" fillId="0" borderId="5" xfId="0" applyNumberFormat="1" applyFont="1" applyBorder="1"/>
    <xf numFmtId="175" fontId="0" fillId="4" borderId="4" xfId="0" applyNumberFormat="1" applyFont="1" applyFill="1" applyBorder="1"/>
    <xf numFmtId="49" fontId="7" fillId="6" borderId="6" xfId="0" applyNumberFormat="1" applyFont="1" applyFill="1" applyBorder="1"/>
    <xf numFmtId="49" fontId="7" fillId="6" borderId="5" xfId="0" applyNumberFormat="1" applyFont="1" applyFill="1" applyBorder="1"/>
    <xf numFmtId="49" fontId="0" fillId="4" borderId="5" xfId="0" applyNumberFormat="1" applyFont="1" applyFill="1" applyBorder="1"/>
    <xf numFmtId="49" fontId="0" fillId="0" borderId="7" xfId="0" applyNumberFormat="1" applyFont="1" applyBorder="1"/>
    <xf numFmtId="49" fontId="10" fillId="0" borderId="5" xfId="0" applyNumberFormat="1" applyFont="1" applyBorder="1"/>
    <xf numFmtId="49" fontId="5" fillId="0" borderId="5" xfId="0" applyNumberFormat="1" applyFont="1" applyBorder="1"/>
    <xf numFmtId="49" fontId="11" fillId="0" borderId="5" xfId="0" applyNumberFormat="1" applyFont="1" applyBorder="1"/>
    <xf numFmtId="49" fontId="11" fillId="0" borderId="7" xfId="0" applyNumberFormat="1" applyFont="1" applyBorder="1" applyAlignment="1">
      <alignment wrapText="1"/>
    </xf>
  </cellXfs>
  <cellStyles count="2">
    <cellStyle name="Normal" xfId="0" builtinId="0"/>
    <cellStyle name="Percent" xfId="1" builtinId="5"/>
  </cellStyles>
  <dxfs count="48">
    <dxf>
      <numFmt numFmtId="30" formatCode="@"/>
    </dxf>
    <dxf>
      <numFmt numFmtId="175" formatCode="&quot;$&quot;#,##0"/>
    </dxf>
    <dxf>
      <numFmt numFmtId="30" formatCode="@"/>
    </dxf>
    <dxf>
      <numFmt numFmtId="30" formatCode="@"/>
    </dxf>
    <dxf>
      <numFmt numFmtId="30" formatCode="@"/>
    </dxf>
    <dxf>
      <alignment wrapText="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F4E79"/>
      <color rgb="FF6A5ACD"/>
      <color rgb="FFF4A261"/>
      <color rgb="FF4CAF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[Property_Tax_Data.xlsx]Issue by Municip!PivotTable1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Segoe UI" panose="020B0502040204020203" pitchFamily="34" charset="0"/>
                <a:cs typeface="Segoe UI" panose="020B0502040204020203" pitchFamily="34" charset="0"/>
              </a:rPr>
              <a:t>Issues by Municipality</a:t>
            </a:r>
          </a:p>
        </c:rich>
      </c:tx>
      <c:layout>
        <c:manualLayout>
          <c:xMode val="edge"/>
          <c:yMode val="edge"/>
          <c:x val="0.18590266841644795"/>
          <c:y val="3.03659959171770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w="444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30358705161856"/>
          <c:y val="0.19744932925051034"/>
          <c:w val="0.58873337707786522"/>
          <c:h val="0.62570683872849231"/>
        </c:manualLayout>
      </c:layout>
      <c:barChart>
        <c:barDir val="bar"/>
        <c:grouping val="clustered"/>
        <c:varyColors val="0"/>
        <c:ser>
          <c:idx val="0"/>
          <c:order val="0"/>
          <c:tx>
            <c:strRef>
              <c:f>'Issue by Municip'!$B$3</c:f>
              <c:strCache>
                <c:ptCount val="1"/>
                <c:pt idx="0">
                  <c:v>Total</c:v>
                </c:pt>
              </c:strCache>
            </c:strRef>
          </c:tx>
          <c:spPr>
            <a:solidFill>
              <a:srgbClr val="FF0000"/>
            </a:solidFill>
            <a:ln w="444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'Issue by Municip'!$A$4:$A$14</c:f>
              <c:strCache>
                <c:ptCount val="10"/>
                <c:pt idx="0">
                  <c:v>Oshawa</c:v>
                </c:pt>
                <c:pt idx="1">
                  <c:v>Hamilton</c:v>
                </c:pt>
                <c:pt idx="2">
                  <c:v>London</c:v>
                </c:pt>
                <c:pt idx="3">
                  <c:v>Guelph</c:v>
                </c:pt>
                <c:pt idx="4">
                  <c:v>Mississauga</c:v>
                </c:pt>
                <c:pt idx="5">
                  <c:v>Windsor</c:v>
                </c:pt>
                <c:pt idx="6">
                  <c:v>Brampton</c:v>
                </c:pt>
                <c:pt idx="7">
                  <c:v>Kingston</c:v>
                </c:pt>
                <c:pt idx="8">
                  <c:v>Toronto</c:v>
                </c:pt>
                <c:pt idx="9">
                  <c:v>Ottawa</c:v>
                </c:pt>
              </c:strCache>
            </c:strRef>
          </c:cat>
          <c:val>
            <c:numRef>
              <c:f>'Issue by Municip'!$B$4:$B$14</c:f>
              <c:numCache>
                <c:formatCode>General</c:formatCode>
                <c:ptCount val="10"/>
                <c:pt idx="0">
                  <c:v>7</c:v>
                </c:pt>
                <c:pt idx="1">
                  <c:v>7</c:v>
                </c:pt>
                <c:pt idx="2">
                  <c:v>8</c:v>
                </c:pt>
                <c:pt idx="3">
                  <c:v>8</c:v>
                </c:pt>
                <c:pt idx="4">
                  <c:v>9</c:v>
                </c:pt>
                <c:pt idx="5">
                  <c:v>10</c:v>
                </c:pt>
                <c:pt idx="6">
                  <c:v>10</c:v>
                </c:pt>
                <c:pt idx="7">
                  <c:v>11</c:v>
                </c:pt>
                <c:pt idx="8">
                  <c:v>13</c:v>
                </c:pt>
                <c:pt idx="9">
                  <c:v>13</c:v>
                </c:pt>
              </c:numCache>
            </c:numRef>
          </c:val>
          <c:extLst>
            <c:ext xmlns:c16="http://schemas.microsoft.com/office/drawing/2014/chart" uri="{C3380CC4-5D6E-409C-BE32-E72D297353CC}">
              <c16:uniqueId val="{00000000-244D-4453-839A-D2EB59DF2D2A}"/>
            </c:ext>
          </c:extLst>
        </c:ser>
        <c:dLbls>
          <c:showLegendKey val="0"/>
          <c:showVal val="0"/>
          <c:showCatName val="0"/>
          <c:showSerName val="0"/>
          <c:showPercent val="0"/>
          <c:showBubbleSize val="0"/>
        </c:dLbls>
        <c:gapWidth val="182"/>
        <c:axId val="139865839"/>
        <c:axId val="139867279"/>
      </c:barChart>
      <c:catAx>
        <c:axId val="1398658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39867279"/>
        <c:crosses val="autoZero"/>
        <c:auto val="1"/>
        <c:lblAlgn val="ctr"/>
        <c:lblOffset val="100"/>
        <c:noMultiLvlLbl val="0"/>
      </c:catAx>
      <c:valAx>
        <c:axId val="139867279"/>
        <c:scaling>
          <c:orientation val="minMax"/>
        </c:scaling>
        <c:delete val="1"/>
        <c:axPos val="b"/>
        <c:numFmt formatCode="General" sourceLinked="1"/>
        <c:majorTickMark val="none"/>
        <c:minorTickMark val="none"/>
        <c:tickLblPos val="nextTo"/>
        <c:crossAx val="139865839"/>
        <c:crosses val="autoZero"/>
        <c:crossBetween val="between"/>
      </c:valAx>
      <c:spPr>
        <a:noFill/>
        <a:ln w="381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[Property_Tax_Data.xlsx]Issue by Prop!PivotTable2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Segoe UI" panose="020B0502040204020203" pitchFamily="34" charset="0"/>
                <a:cs typeface="Segoe UI" panose="020B0502040204020203" pitchFamily="34" charset="0"/>
              </a:rPr>
              <a:t>Issue by Property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'Issue by Prop'!$B$3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'Issue by Prop'!$A$4:$A$10</c:f>
              <c:strCache>
                <c:ptCount val="6"/>
                <c:pt idx="0">
                  <c:v>Mixed Use</c:v>
                </c:pt>
                <c:pt idx="1">
                  <c:v>Residential</c:v>
                </c:pt>
                <c:pt idx="2">
                  <c:v>Commercial</c:v>
                </c:pt>
                <c:pt idx="3">
                  <c:v>Industrial</c:v>
                </c:pt>
                <c:pt idx="4">
                  <c:v>Agricultural</c:v>
                </c:pt>
                <c:pt idx="5">
                  <c:v>Multi-Residential</c:v>
                </c:pt>
              </c:strCache>
            </c:strRef>
          </c:cat>
          <c:val>
            <c:numRef>
              <c:f>'Issue by Prop'!$B$4:$B$10</c:f>
              <c:numCache>
                <c:formatCode>General</c:formatCode>
                <c:ptCount val="6"/>
                <c:pt idx="0">
                  <c:v>2</c:v>
                </c:pt>
                <c:pt idx="1">
                  <c:v>16</c:v>
                </c:pt>
                <c:pt idx="2">
                  <c:v>17</c:v>
                </c:pt>
                <c:pt idx="3">
                  <c:v>19</c:v>
                </c:pt>
                <c:pt idx="4">
                  <c:v>20</c:v>
                </c:pt>
                <c:pt idx="5">
                  <c:v>22</c:v>
                </c:pt>
              </c:numCache>
            </c:numRef>
          </c:val>
          <c:extLst>
            <c:ext xmlns:c16="http://schemas.microsoft.com/office/drawing/2014/chart" uri="{C3380CC4-5D6E-409C-BE32-E72D297353CC}">
              <c16:uniqueId val="{00000000-D81A-4FCD-A98D-07EEA6F8BABF}"/>
            </c:ext>
          </c:extLst>
        </c:ser>
        <c:dLbls>
          <c:dLblPos val="outEnd"/>
          <c:showLegendKey val="0"/>
          <c:showVal val="1"/>
          <c:showCatName val="0"/>
          <c:showSerName val="0"/>
          <c:showPercent val="0"/>
          <c:showBubbleSize val="0"/>
        </c:dLbls>
        <c:gapWidth val="219"/>
        <c:overlap val="-27"/>
        <c:axId val="392305919"/>
        <c:axId val="392306399"/>
      </c:barChart>
      <c:catAx>
        <c:axId val="3923059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392306399"/>
        <c:crosses val="autoZero"/>
        <c:auto val="1"/>
        <c:lblAlgn val="ctr"/>
        <c:lblOffset val="100"/>
        <c:noMultiLvlLbl val="0"/>
      </c:catAx>
      <c:valAx>
        <c:axId val="392306399"/>
        <c:scaling>
          <c:orientation val="minMax"/>
        </c:scaling>
        <c:delete val="1"/>
        <c:axPos val="l"/>
        <c:numFmt formatCode="General" sourceLinked="1"/>
        <c:majorTickMark val="none"/>
        <c:minorTickMark val="none"/>
        <c:tickLblPos val="nextTo"/>
        <c:crossAx val="39230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[Property_Tax_Data.xlsx]Assessed Value!PivotTable3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Average Assessed Value by Property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F4E79"/>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'Assessed Value'!$B$3</c:f>
              <c:strCache>
                <c:ptCount val="1"/>
                <c:pt idx="0">
                  <c:v>Total</c:v>
                </c:pt>
              </c:strCache>
            </c:strRef>
          </c:tx>
          <c:spPr>
            <a:solidFill>
              <a:srgbClr val="1F4E79"/>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'Assessed Value'!$A$4:$A$10</c:f>
              <c:strCache>
                <c:ptCount val="6"/>
                <c:pt idx="0">
                  <c:v>Residential</c:v>
                </c:pt>
                <c:pt idx="1">
                  <c:v>Agricultural</c:v>
                </c:pt>
                <c:pt idx="2">
                  <c:v>Commercial</c:v>
                </c:pt>
                <c:pt idx="3">
                  <c:v>Mixed Use</c:v>
                </c:pt>
                <c:pt idx="4">
                  <c:v>Industrial</c:v>
                </c:pt>
                <c:pt idx="5">
                  <c:v>Multi-Residential</c:v>
                </c:pt>
              </c:strCache>
            </c:strRef>
          </c:cat>
          <c:val>
            <c:numRef>
              <c:f>'Assessed Value'!$B$4:$B$10</c:f>
              <c:numCache>
                <c:formatCode>General</c:formatCode>
                <c:ptCount val="6"/>
                <c:pt idx="0">
                  <c:v>861095.07291666663</c:v>
                </c:pt>
                <c:pt idx="1">
                  <c:v>1932233.46875</c:v>
                </c:pt>
                <c:pt idx="2">
                  <c:v>3486310.6326530613</c:v>
                </c:pt>
                <c:pt idx="3">
                  <c:v>4038858</c:v>
                </c:pt>
                <c:pt idx="4">
                  <c:v>6710678.2277227724</c:v>
                </c:pt>
                <c:pt idx="5">
                  <c:v>11691611.695652174</c:v>
                </c:pt>
              </c:numCache>
            </c:numRef>
          </c:val>
          <c:extLst>
            <c:ext xmlns:c16="http://schemas.microsoft.com/office/drawing/2014/chart" uri="{C3380CC4-5D6E-409C-BE32-E72D297353CC}">
              <c16:uniqueId val="{00000000-3332-42B5-8FAC-AF6CCC1C449B}"/>
            </c:ext>
          </c:extLst>
        </c:ser>
        <c:dLbls>
          <c:dLblPos val="outEnd"/>
          <c:showLegendKey val="0"/>
          <c:showVal val="1"/>
          <c:showCatName val="0"/>
          <c:showSerName val="0"/>
          <c:showPercent val="0"/>
          <c:showBubbleSize val="0"/>
        </c:dLbls>
        <c:gapWidth val="219"/>
        <c:overlap val="-27"/>
        <c:axId val="396227887"/>
        <c:axId val="396225967"/>
      </c:barChart>
      <c:catAx>
        <c:axId val="3962278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396225967"/>
        <c:crosses val="autoZero"/>
        <c:auto val="1"/>
        <c:lblAlgn val="ctr"/>
        <c:lblOffset val="100"/>
        <c:noMultiLvlLbl val="0"/>
      </c:catAx>
      <c:valAx>
        <c:axId val="396225967"/>
        <c:scaling>
          <c:orientation val="minMax"/>
        </c:scaling>
        <c:delete val="1"/>
        <c:axPos val="l"/>
        <c:numFmt formatCode="General" sourceLinked="1"/>
        <c:majorTickMark val="none"/>
        <c:minorTickMark val="none"/>
        <c:tickLblPos val="nextTo"/>
        <c:crossAx val="39622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[Property_Tax_Data.xlsx]Issue Type!PivotTable6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Segoe UI" panose="020B0502040204020203" pitchFamily="34" charset="0"/>
                <a:cs typeface="Segoe UI" panose="020B0502040204020203" pitchFamily="34" charset="0"/>
              </a:rPr>
              <a:t>Issue Type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'Issue Type'!$B$3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'Issue Type'!$A$4:$A$13</c:f>
              <c:strCache>
                <c:ptCount val="9"/>
                <c:pt idx="0">
                  <c:v>Incomplete Record</c:v>
                </c:pt>
                <c:pt idx="1">
                  <c:v>Outlier</c:v>
                </c:pt>
                <c:pt idx="2">
                  <c:v>Invalid Sale Date</c:v>
                </c:pt>
                <c:pt idx="3">
                  <c:v>Invalid Property Class</c:v>
                </c:pt>
                <c:pt idx="4">
                  <c:v>Invalid Municipality Code</c:v>
                </c:pt>
                <c:pt idx="5">
                  <c:v>Invalid Postal Code</c:v>
                </c:pt>
                <c:pt idx="6">
                  <c:v>Duplicate Roll Number</c:v>
                </c:pt>
                <c:pt idx="7">
                  <c:v>Municipality Name Mismatch</c:v>
                </c:pt>
                <c:pt idx="8">
                  <c:v>Tax Mismatch</c:v>
                </c:pt>
              </c:strCache>
            </c:strRef>
          </c:cat>
          <c:val>
            <c:numRef>
              <c:f>'Issue Type'!$B$4:$B$13</c:f>
              <c:numCache>
                <c:formatCode>General</c:formatCode>
                <c:ptCount val="9"/>
                <c:pt idx="0">
                  <c:v>0</c:v>
                </c:pt>
                <c:pt idx="1">
                  <c:v>5</c:v>
                </c:pt>
                <c:pt idx="2">
                  <c:v>8</c:v>
                </c:pt>
                <c:pt idx="3">
                  <c:v>10</c:v>
                </c:pt>
                <c:pt idx="4">
                  <c:v>12</c:v>
                </c:pt>
                <c:pt idx="5">
                  <c:v>13</c:v>
                </c:pt>
                <c:pt idx="6">
                  <c:v>20</c:v>
                </c:pt>
                <c:pt idx="7">
                  <c:v>31</c:v>
                </c:pt>
                <c:pt idx="8">
                  <c:v>47</c:v>
                </c:pt>
              </c:numCache>
            </c:numRef>
          </c:val>
          <c:extLst>
            <c:ext xmlns:c16="http://schemas.microsoft.com/office/drawing/2014/chart" uri="{C3380CC4-5D6E-409C-BE32-E72D297353CC}">
              <c16:uniqueId val="{00000000-2670-43A9-A4FB-6BF60CCB51E6}"/>
            </c:ext>
          </c:extLst>
        </c:ser>
        <c:dLbls>
          <c:dLblPos val="outEnd"/>
          <c:showLegendKey val="0"/>
          <c:showVal val="1"/>
          <c:showCatName val="0"/>
          <c:showSerName val="0"/>
          <c:showPercent val="0"/>
          <c:showBubbleSize val="0"/>
        </c:dLbls>
        <c:gapWidth val="182"/>
        <c:axId val="292795039"/>
        <c:axId val="292797919"/>
      </c:barChart>
      <c:catAx>
        <c:axId val="2927950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92797919"/>
        <c:crosses val="autoZero"/>
        <c:auto val="1"/>
        <c:lblAlgn val="ctr"/>
        <c:lblOffset val="100"/>
        <c:noMultiLvlLbl val="0"/>
      </c:catAx>
      <c:valAx>
        <c:axId val="292797919"/>
        <c:scaling>
          <c:orientation val="minMax"/>
        </c:scaling>
        <c:delete val="1"/>
        <c:axPos val="b"/>
        <c:numFmt formatCode="General" sourceLinked="1"/>
        <c:majorTickMark val="none"/>
        <c:minorTickMark val="none"/>
        <c:tickLblPos val="nextTo"/>
        <c:crossAx val="29279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[Property_Tax_Data.xlsx]Issue by Municip!PivotTable1</c:name>
    <c:fmtId val="4"/>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400" b="1">
                <a:solidFill>
                  <a:schemeClr val="tx2"/>
                </a:solidFill>
                <a:latin typeface="Segoe UI" panose="020B0502040204020203" pitchFamily="34" charset="0"/>
                <a:cs typeface="Segoe UI" panose="020B0502040204020203" pitchFamily="34" charset="0"/>
              </a:rPr>
              <a:t>Issues by Municipality</a:t>
            </a:r>
          </a:p>
        </c:rich>
      </c:tx>
      <c:layout>
        <c:manualLayout>
          <c:xMode val="edge"/>
          <c:yMode val="edge"/>
          <c:x val="0.18912852425704851"/>
          <c:y val="3.49956255468066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rgbClr val="1F4E79"/>
          </a:solidFill>
          <a:ln w="444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4E79"/>
          </a:solidFill>
          <a:ln w="444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444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49707899415796"/>
          <c:y val="0.18356044036162145"/>
          <c:w val="0.67260426720853428"/>
          <c:h val="0.62570683872849231"/>
        </c:manualLayout>
      </c:layout>
      <c:barChart>
        <c:barDir val="bar"/>
        <c:grouping val="clustered"/>
        <c:varyColors val="0"/>
        <c:ser>
          <c:idx val="0"/>
          <c:order val="0"/>
          <c:tx>
            <c:strRef>
              <c:f>'Issue by Municip'!$B$3</c:f>
              <c:strCache>
                <c:ptCount val="1"/>
                <c:pt idx="0">
                  <c:v>Total</c:v>
                </c:pt>
              </c:strCache>
            </c:strRef>
          </c:tx>
          <c:spPr>
            <a:solidFill>
              <a:srgbClr val="FF0000"/>
            </a:solidFill>
            <a:ln w="444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'Issue by Municip'!$A$4:$A$14</c:f>
              <c:strCache>
                <c:ptCount val="10"/>
                <c:pt idx="0">
                  <c:v>Oshawa</c:v>
                </c:pt>
                <c:pt idx="1">
                  <c:v>Hamilton</c:v>
                </c:pt>
                <c:pt idx="2">
                  <c:v>London</c:v>
                </c:pt>
                <c:pt idx="3">
                  <c:v>Guelph</c:v>
                </c:pt>
                <c:pt idx="4">
                  <c:v>Mississauga</c:v>
                </c:pt>
                <c:pt idx="5">
                  <c:v>Windsor</c:v>
                </c:pt>
                <c:pt idx="6">
                  <c:v>Brampton</c:v>
                </c:pt>
                <c:pt idx="7">
                  <c:v>Kingston</c:v>
                </c:pt>
                <c:pt idx="8">
                  <c:v>Toronto</c:v>
                </c:pt>
                <c:pt idx="9">
                  <c:v>Ottawa</c:v>
                </c:pt>
              </c:strCache>
            </c:strRef>
          </c:cat>
          <c:val>
            <c:numRef>
              <c:f>'Issue by Municip'!$B$4:$B$14</c:f>
              <c:numCache>
                <c:formatCode>General</c:formatCode>
                <c:ptCount val="10"/>
                <c:pt idx="0">
                  <c:v>7</c:v>
                </c:pt>
                <c:pt idx="1">
                  <c:v>7</c:v>
                </c:pt>
                <c:pt idx="2">
                  <c:v>8</c:v>
                </c:pt>
                <c:pt idx="3">
                  <c:v>8</c:v>
                </c:pt>
                <c:pt idx="4">
                  <c:v>9</c:v>
                </c:pt>
                <c:pt idx="5">
                  <c:v>10</c:v>
                </c:pt>
                <c:pt idx="6">
                  <c:v>10</c:v>
                </c:pt>
                <c:pt idx="7">
                  <c:v>11</c:v>
                </c:pt>
                <c:pt idx="8">
                  <c:v>13</c:v>
                </c:pt>
                <c:pt idx="9">
                  <c:v>13</c:v>
                </c:pt>
              </c:numCache>
            </c:numRef>
          </c:val>
          <c:extLst>
            <c:ext xmlns:c16="http://schemas.microsoft.com/office/drawing/2014/chart" uri="{C3380CC4-5D6E-409C-BE32-E72D297353CC}">
              <c16:uniqueId val="{00000000-73B1-451E-8A34-46856F087096}"/>
            </c:ext>
          </c:extLst>
        </c:ser>
        <c:dLbls>
          <c:showLegendKey val="0"/>
          <c:showVal val="0"/>
          <c:showCatName val="0"/>
          <c:showSerName val="0"/>
          <c:showPercent val="0"/>
          <c:showBubbleSize val="0"/>
        </c:dLbls>
        <c:gapWidth val="182"/>
        <c:axId val="139865839"/>
        <c:axId val="139867279"/>
      </c:barChart>
      <c:catAx>
        <c:axId val="1398658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39867279"/>
        <c:crosses val="autoZero"/>
        <c:auto val="1"/>
        <c:lblAlgn val="ctr"/>
        <c:lblOffset val="100"/>
        <c:noMultiLvlLbl val="0"/>
      </c:catAx>
      <c:valAx>
        <c:axId val="139867279"/>
        <c:scaling>
          <c:orientation val="minMax"/>
        </c:scaling>
        <c:delete val="1"/>
        <c:axPos val="b"/>
        <c:numFmt formatCode="General" sourceLinked="1"/>
        <c:majorTickMark val="none"/>
        <c:minorTickMark val="none"/>
        <c:tickLblPos val="nextTo"/>
        <c:crossAx val="139865839"/>
        <c:crosses val="autoZero"/>
        <c:crossBetween val="between"/>
      </c:valAx>
      <c:spPr>
        <a:noFill/>
        <a:ln w="381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[Property_Tax_Data.xlsx]Issue by Prop!PivotTable2</c:name>
    <c:fmtId val="7"/>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400" b="1">
                <a:solidFill>
                  <a:schemeClr val="tx2"/>
                </a:solidFill>
                <a:latin typeface="Segoe UI" panose="020B0502040204020203" pitchFamily="34" charset="0"/>
                <a:cs typeface="Segoe UI" panose="020B0502040204020203" pitchFamily="34" charset="0"/>
              </a:rPr>
              <a:t>Issues by Property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rgbClr val="1F4E79"/>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642632554889684E-2"/>
          <c:y val="0.17879629629629629"/>
          <c:w val="0.89822767461234576"/>
          <c:h val="0.48319335083114612"/>
        </c:manualLayout>
      </c:layout>
      <c:barChart>
        <c:barDir val="col"/>
        <c:grouping val="clustered"/>
        <c:varyColors val="0"/>
        <c:ser>
          <c:idx val="0"/>
          <c:order val="0"/>
          <c:tx>
            <c:strRef>
              <c:f>'Issue by Prop'!$B$3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'Issue by Prop'!$A$4:$A$10</c:f>
              <c:strCache>
                <c:ptCount val="6"/>
                <c:pt idx="0">
                  <c:v>Mixed Use</c:v>
                </c:pt>
                <c:pt idx="1">
                  <c:v>Residential</c:v>
                </c:pt>
                <c:pt idx="2">
                  <c:v>Commercial</c:v>
                </c:pt>
                <c:pt idx="3">
                  <c:v>Industrial</c:v>
                </c:pt>
                <c:pt idx="4">
                  <c:v>Agricultural</c:v>
                </c:pt>
                <c:pt idx="5">
                  <c:v>Multi-Residential</c:v>
                </c:pt>
              </c:strCache>
            </c:strRef>
          </c:cat>
          <c:val>
            <c:numRef>
              <c:f>'Issue by Prop'!$B$4:$B$10</c:f>
              <c:numCache>
                <c:formatCode>General</c:formatCode>
                <c:ptCount val="6"/>
                <c:pt idx="0">
                  <c:v>2</c:v>
                </c:pt>
                <c:pt idx="1">
                  <c:v>16</c:v>
                </c:pt>
                <c:pt idx="2">
                  <c:v>17</c:v>
                </c:pt>
                <c:pt idx="3">
                  <c:v>19</c:v>
                </c:pt>
                <c:pt idx="4">
                  <c:v>20</c:v>
                </c:pt>
                <c:pt idx="5">
                  <c:v>22</c:v>
                </c:pt>
              </c:numCache>
            </c:numRef>
          </c:val>
          <c:extLst>
            <c:ext xmlns:c16="http://schemas.microsoft.com/office/drawing/2014/chart" uri="{C3380CC4-5D6E-409C-BE32-E72D297353CC}">
              <c16:uniqueId val="{00000000-CFC3-44D0-B0B9-8EB5C7B5FA6B}"/>
            </c:ext>
          </c:extLst>
        </c:ser>
        <c:dLbls>
          <c:dLblPos val="outEnd"/>
          <c:showLegendKey val="0"/>
          <c:showVal val="1"/>
          <c:showCatName val="0"/>
          <c:showSerName val="0"/>
          <c:showPercent val="0"/>
          <c:showBubbleSize val="0"/>
        </c:dLbls>
        <c:gapWidth val="219"/>
        <c:overlap val="-27"/>
        <c:axId val="392305919"/>
        <c:axId val="392306399"/>
      </c:barChart>
      <c:catAx>
        <c:axId val="392305919"/>
        <c:scaling>
          <c:orientation val="minMax"/>
        </c:scaling>
        <c:delete val="0"/>
        <c:axPos val="b"/>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392306399"/>
        <c:crosses val="autoZero"/>
        <c:auto val="1"/>
        <c:lblAlgn val="ctr"/>
        <c:lblOffset val="100"/>
        <c:noMultiLvlLbl val="0"/>
      </c:catAx>
      <c:valAx>
        <c:axId val="392306399"/>
        <c:scaling>
          <c:orientation val="minMax"/>
        </c:scaling>
        <c:delete val="1"/>
        <c:axPos val="l"/>
        <c:numFmt formatCode="General" sourceLinked="1"/>
        <c:majorTickMark val="none"/>
        <c:minorTickMark val="none"/>
        <c:tickLblPos val="nextTo"/>
        <c:crossAx val="39230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[Property_Tax_Data.xlsx]Issue Type!PivotTable6</c:name>
    <c:fmtId val="5"/>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400" b="1">
                <a:solidFill>
                  <a:schemeClr val="tx2"/>
                </a:solidFill>
                <a:latin typeface="Segoe UI" panose="020B0502040204020203" pitchFamily="34" charset="0"/>
                <a:cs typeface="Segoe UI" panose="020B0502040204020203" pitchFamily="34" charset="0"/>
              </a:rPr>
              <a:t>Data Quality Issue Breakdown</a:t>
            </a:r>
          </a:p>
        </c:rich>
      </c:tx>
      <c:layout>
        <c:manualLayout>
          <c:xMode val="edge"/>
          <c:yMode val="edge"/>
          <c:x val="0.21991071209556751"/>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633036524640029"/>
          <c:y val="0.16027777777777777"/>
          <c:w val="0.5294017219810141"/>
          <c:h val="0.77027777777777773"/>
        </c:manualLayout>
      </c:layout>
      <c:barChart>
        <c:barDir val="bar"/>
        <c:grouping val="clustered"/>
        <c:varyColors val="0"/>
        <c:ser>
          <c:idx val="0"/>
          <c:order val="0"/>
          <c:tx>
            <c:strRef>
              <c:f>'Issue Type'!$B$3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'Issue Type'!$A$4:$A$13</c:f>
              <c:strCache>
                <c:ptCount val="9"/>
                <c:pt idx="0">
                  <c:v>Incomplete Record</c:v>
                </c:pt>
                <c:pt idx="1">
                  <c:v>Outlier</c:v>
                </c:pt>
                <c:pt idx="2">
                  <c:v>Invalid Sale Date</c:v>
                </c:pt>
                <c:pt idx="3">
                  <c:v>Invalid Property Class</c:v>
                </c:pt>
                <c:pt idx="4">
                  <c:v>Invalid Municipality Code</c:v>
                </c:pt>
                <c:pt idx="5">
                  <c:v>Invalid Postal Code</c:v>
                </c:pt>
                <c:pt idx="6">
                  <c:v>Duplicate Roll Number</c:v>
                </c:pt>
                <c:pt idx="7">
                  <c:v>Municipality Name Mismatch</c:v>
                </c:pt>
                <c:pt idx="8">
                  <c:v>Tax Mismatch</c:v>
                </c:pt>
              </c:strCache>
            </c:strRef>
          </c:cat>
          <c:val>
            <c:numRef>
              <c:f>'Issue Type'!$B$4:$B$13</c:f>
              <c:numCache>
                <c:formatCode>General</c:formatCode>
                <c:ptCount val="9"/>
                <c:pt idx="0">
                  <c:v>0</c:v>
                </c:pt>
                <c:pt idx="1">
                  <c:v>5</c:v>
                </c:pt>
                <c:pt idx="2">
                  <c:v>8</c:v>
                </c:pt>
                <c:pt idx="3">
                  <c:v>10</c:v>
                </c:pt>
                <c:pt idx="4">
                  <c:v>12</c:v>
                </c:pt>
                <c:pt idx="5">
                  <c:v>13</c:v>
                </c:pt>
                <c:pt idx="6">
                  <c:v>20</c:v>
                </c:pt>
                <c:pt idx="7">
                  <c:v>31</c:v>
                </c:pt>
                <c:pt idx="8">
                  <c:v>47</c:v>
                </c:pt>
              </c:numCache>
            </c:numRef>
          </c:val>
          <c:extLst>
            <c:ext xmlns:c16="http://schemas.microsoft.com/office/drawing/2014/chart" uri="{C3380CC4-5D6E-409C-BE32-E72D297353CC}">
              <c16:uniqueId val="{00000000-94B0-4BE6-93DB-3871271CB881}"/>
            </c:ext>
          </c:extLst>
        </c:ser>
        <c:dLbls>
          <c:dLblPos val="outEnd"/>
          <c:showLegendKey val="0"/>
          <c:showVal val="1"/>
          <c:showCatName val="0"/>
          <c:showSerName val="0"/>
          <c:showPercent val="0"/>
          <c:showBubbleSize val="0"/>
        </c:dLbls>
        <c:gapWidth val="182"/>
        <c:axId val="292795039"/>
        <c:axId val="292797919"/>
      </c:barChart>
      <c:catAx>
        <c:axId val="2927950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92797919"/>
        <c:crosses val="autoZero"/>
        <c:auto val="1"/>
        <c:lblAlgn val="ctr"/>
        <c:lblOffset val="100"/>
        <c:noMultiLvlLbl val="0"/>
      </c:catAx>
      <c:valAx>
        <c:axId val="292797919"/>
        <c:scaling>
          <c:orientation val="minMax"/>
        </c:scaling>
        <c:delete val="1"/>
        <c:axPos val="b"/>
        <c:numFmt formatCode="General" sourceLinked="1"/>
        <c:majorTickMark val="none"/>
        <c:minorTickMark val="none"/>
        <c:tickLblPos val="nextTo"/>
        <c:crossAx val="29279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[Property_Tax_Data.xlsx]Assessed Value!PivotTable3</c:name>
    <c:fmtId val="5"/>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400" b="1">
                <a:solidFill>
                  <a:schemeClr val="tx2"/>
                </a:solidFill>
                <a:latin typeface="Segoe UI" panose="020B0502040204020203" pitchFamily="34" charset="0"/>
                <a:cs typeface="Segoe UI" panose="020B0502040204020203" pitchFamily="34" charset="0"/>
              </a:rPr>
              <a:t>Average Assessed</a:t>
            </a:r>
            <a:r>
              <a:rPr lang="en-US" sz="1400" b="1" baseline="0">
                <a:solidFill>
                  <a:schemeClr val="tx2"/>
                </a:solidFill>
                <a:latin typeface="Segoe UI" panose="020B0502040204020203" pitchFamily="34" charset="0"/>
                <a:cs typeface="Segoe UI" panose="020B0502040204020203" pitchFamily="34" charset="0"/>
              </a:rPr>
              <a:t> </a:t>
            </a:r>
            <a:r>
              <a:rPr lang="en-US" sz="1400" b="1">
                <a:solidFill>
                  <a:schemeClr val="tx2"/>
                </a:solidFill>
                <a:latin typeface="Segoe UI" panose="020B0502040204020203" pitchFamily="34" charset="0"/>
                <a:cs typeface="Segoe UI" panose="020B0502040204020203" pitchFamily="34" charset="0"/>
              </a:rPr>
              <a:t>Property Value </a:t>
            </a:r>
          </a:p>
        </c:rich>
      </c:tx>
      <c:layout>
        <c:manualLayout>
          <c:xMode val="edge"/>
          <c:yMode val="edge"/>
          <c:x val="0.129771916808271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rgbClr val="1F4E79"/>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4E79"/>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4E79"/>
          </a:solidFill>
          <a:ln>
            <a:no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284726813728431E-2"/>
          <c:y val="0.22796296296296295"/>
          <c:w val="0.90502061669772194"/>
          <c:h val="0.39698964712744239"/>
        </c:manualLayout>
      </c:layout>
      <c:barChart>
        <c:barDir val="col"/>
        <c:grouping val="clustered"/>
        <c:varyColors val="0"/>
        <c:ser>
          <c:idx val="0"/>
          <c:order val="0"/>
          <c:tx>
            <c:strRef>
              <c:f>'Assessed Value'!$B$3</c:f>
              <c:strCache>
                <c:ptCount val="1"/>
                <c:pt idx="0">
                  <c:v>Total</c:v>
                </c:pt>
              </c:strCache>
            </c:strRef>
          </c:tx>
          <c:spPr>
            <a:solidFill>
              <a:srgbClr val="1F4E79"/>
            </a:solidFill>
            <a:ln>
              <a:noFill/>
            </a:ln>
            <a:effectLst/>
          </c:spPr>
          <c:invertIfNegative val="0"/>
          <c:dLbls>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'Assessed Value'!$A$4:$A$10</c:f>
              <c:strCache>
                <c:ptCount val="6"/>
                <c:pt idx="0">
                  <c:v>Residential</c:v>
                </c:pt>
                <c:pt idx="1">
                  <c:v>Agricultural</c:v>
                </c:pt>
                <c:pt idx="2">
                  <c:v>Commercial</c:v>
                </c:pt>
                <c:pt idx="3">
                  <c:v>Mixed Use</c:v>
                </c:pt>
                <c:pt idx="4">
                  <c:v>Industrial</c:v>
                </c:pt>
                <c:pt idx="5">
                  <c:v>Multi-Residential</c:v>
                </c:pt>
              </c:strCache>
            </c:strRef>
          </c:cat>
          <c:val>
            <c:numRef>
              <c:f>'Assessed Value'!$B$4:$B$10</c:f>
              <c:numCache>
                <c:formatCode>General</c:formatCode>
                <c:ptCount val="6"/>
                <c:pt idx="0">
                  <c:v>861095.07291666663</c:v>
                </c:pt>
                <c:pt idx="1">
                  <c:v>1932233.46875</c:v>
                </c:pt>
                <c:pt idx="2">
                  <c:v>3486310.6326530613</c:v>
                </c:pt>
                <c:pt idx="3">
                  <c:v>4038858</c:v>
                </c:pt>
                <c:pt idx="4">
                  <c:v>6710678.2277227724</c:v>
                </c:pt>
                <c:pt idx="5">
                  <c:v>11691611.695652174</c:v>
                </c:pt>
              </c:numCache>
            </c:numRef>
          </c:val>
          <c:extLst>
            <c:ext xmlns:c16="http://schemas.microsoft.com/office/drawing/2014/chart" uri="{C3380CC4-5D6E-409C-BE32-E72D297353CC}">
              <c16:uniqueId val="{00000000-FD50-4F3F-BC06-5353FB23755F}"/>
            </c:ext>
          </c:extLst>
        </c:ser>
        <c:dLbls>
          <c:dLblPos val="outEnd"/>
          <c:showLegendKey val="0"/>
          <c:showVal val="1"/>
          <c:showCatName val="0"/>
          <c:showSerName val="0"/>
          <c:showPercent val="0"/>
          <c:showBubbleSize val="0"/>
        </c:dLbls>
        <c:gapWidth val="219"/>
        <c:overlap val="-27"/>
        <c:axId val="396227887"/>
        <c:axId val="396225967"/>
      </c:barChart>
      <c:catAx>
        <c:axId val="3962278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396225967"/>
        <c:crosses val="autoZero"/>
        <c:auto val="1"/>
        <c:lblAlgn val="ctr"/>
        <c:lblOffset val="100"/>
        <c:noMultiLvlLbl val="0"/>
      </c:catAx>
      <c:valAx>
        <c:axId val="396225967"/>
        <c:scaling>
          <c:orientation val="minMax"/>
        </c:scaling>
        <c:delete val="1"/>
        <c:axPos val="l"/>
        <c:numFmt formatCode="General" sourceLinked="1"/>
        <c:majorTickMark val="none"/>
        <c:minorTickMark val="none"/>
        <c:tickLblPos val="nextTo"/>
        <c:crossAx val="39622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527050</xdr:colOff>
      <xdr:row>1</xdr:row>
      <xdr:rowOff>114300</xdr:rowOff>
    </xdr:from>
    <xdr:to>
      <xdr:col>10</xdr:col>
      <xdr:colOff>222250</xdr:colOff>
      <xdr:row>16</xdr:row>
      <xdr:rowOff>95250</xdr:rowOff>
    </xdr:to>
    <xdr:graphicFrame macro="">
      <xdr:nvGraphicFramePr>
        <xdr:cNvPr id="2" name="Chart 1">
          <a:extLst>
            <a:ext uri="{FF2B5EF4-FFF2-40B4-BE49-F238E27FC236}">
              <a16:creationId xmlns:a16="http://schemas.microsoft.com/office/drawing/2014/main" id="{B50FBC0D-C279-3119-E34A-001802B12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1</xdr:row>
      <xdr:rowOff>12700</xdr:rowOff>
    </xdr:from>
    <xdr:to>
      <xdr:col>10</xdr:col>
      <xdr:colOff>38100</xdr:colOff>
      <xdr:row>15</xdr:row>
      <xdr:rowOff>177800</xdr:rowOff>
    </xdr:to>
    <xdr:graphicFrame macro="">
      <xdr:nvGraphicFramePr>
        <xdr:cNvPr id="2" name="Chart 1">
          <a:extLst>
            <a:ext uri="{FF2B5EF4-FFF2-40B4-BE49-F238E27FC236}">
              <a16:creationId xmlns:a16="http://schemas.microsoft.com/office/drawing/2014/main" id="{D2F37255-26D3-8E98-2DC7-B083D8F590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234950</xdr:colOff>
      <xdr:row>2</xdr:row>
      <xdr:rowOff>44450</xdr:rowOff>
    </xdr:from>
    <xdr:to>
      <xdr:col>9</xdr:col>
      <xdr:colOff>539750</xdr:colOff>
      <xdr:row>17</xdr:row>
      <xdr:rowOff>25400</xdr:rowOff>
    </xdr:to>
    <xdr:graphicFrame macro="">
      <xdr:nvGraphicFramePr>
        <xdr:cNvPr id="2" name="Chart 1">
          <a:extLst>
            <a:ext uri="{FF2B5EF4-FFF2-40B4-BE49-F238E27FC236}">
              <a16:creationId xmlns:a16="http://schemas.microsoft.com/office/drawing/2014/main" id="{4AD128B5-0A01-4246-DB34-2A48155EC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146050</xdr:colOff>
      <xdr:row>10</xdr:row>
      <xdr:rowOff>158750</xdr:rowOff>
    </xdr:from>
    <xdr:to>
      <xdr:col>1</xdr:col>
      <xdr:colOff>927100</xdr:colOff>
      <xdr:row>24</xdr:row>
      <xdr:rowOff>104775</xdr:rowOff>
    </xdr:to>
    <mc:AlternateContent xmlns:mc="http://schemas.openxmlformats.org/markup-compatibility/2006">
      <mc:Choice xmlns:a14="http://schemas.microsoft.com/office/drawing/2010/main" Requires="a14">
        <xdr:graphicFrame macro="">
          <xdr:nvGraphicFramePr>
            <xdr:cNvPr id="3" name="Municipality_Name">
              <a:extLst>
                <a:ext uri="{FF2B5EF4-FFF2-40B4-BE49-F238E27FC236}">
                  <a16:creationId xmlns:a16="http://schemas.microsoft.com/office/drawing/2014/main" id="{91A2EF0A-E970-341B-3A8D-05BB384B9E17}"/>
                </a:ext>
              </a:extLst>
            </xdr:cNvPr>
            <xdr:cNvGraphicFramePr/>
          </xdr:nvGraphicFramePr>
          <xdr:xfrm>
            <a:off x="0" y="0"/>
            <a:ext cx="0" cy="0"/>
          </xdr:xfrm>
          <a:graphic>
            <a:graphicData uri="http://schemas.microsoft.com/office/drawing/2010/slicer">
              <sle:slicer xmlns:sle="http://schemas.microsoft.com/office/drawing/2010/slicer" name="Municipality_Name"/>
            </a:graphicData>
          </a:graphic>
        </xdr:graphicFrame>
      </mc:Choice>
      <mc:Fallback>
        <xdr:sp macro="" textlink="">
          <xdr:nvSpPr>
            <xdr:cNvPr id="0" name=""/>
            <xdr:cNvSpPr>
              <a:spLocks noTextEdit="1"/>
            </xdr:cNvSpPr>
          </xdr:nvSpPr>
          <xdr:spPr>
            <a:xfrm>
              <a:off x="146050" y="200025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107950</xdr:colOff>
      <xdr:row>3</xdr:row>
      <xdr:rowOff>25400</xdr:rowOff>
    </xdr:from>
    <xdr:to>
      <xdr:col>13</xdr:col>
      <xdr:colOff>107950</xdr:colOff>
      <xdr:row>16</xdr:row>
      <xdr:rowOff>155575</xdr:rowOff>
    </xdr:to>
    <mc:AlternateContent xmlns:mc="http://schemas.openxmlformats.org/markup-compatibility/2006">
      <mc:Choice xmlns:a14="http://schemas.microsoft.com/office/drawing/2010/main" Requires="a14">
        <xdr:graphicFrame macro="">
          <xdr:nvGraphicFramePr>
            <xdr:cNvPr id="4" name="Property_Class">
              <a:extLst>
                <a:ext uri="{FF2B5EF4-FFF2-40B4-BE49-F238E27FC236}">
                  <a16:creationId xmlns:a16="http://schemas.microsoft.com/office/drawing/2014/main" id="{CF78E2B5-93F2-15A8-28FA-9A2FDDD7A4E1}"/>
                </a:ext>
              </a:extLst>
            </xdr:cNvPr>
            <xdr:cNvGraphicFramePr/>
          </xdr:nvGraphicFramePr>
          <xdr:xfrm>
            <a:off x="0" y="0"/>
            <a:ext cx="0" cy="0"/>
          </xdr:xfrm>
          <a:graphic>
            <a:graphicData uri="http://schemas.microsoft.com/office/drawing/2010/slicer">
              <sle:slicer xmlns:sle="http://schemas.microsoft.com/office/drawing/2010/slicer" name="Property_Class"/>
            </a:graphicData>
          </a:graphic>
        </xdr:graphicFrame>
      </mc:Choice>
      <mc:Fallback>
        <xdr:sp macro="" textlink="">
          <xdr:nvSpPr>
            <xdr:cNvPr id="0" name=""/>
            <xdr:cNvSpPr>
              <a:spLocks noTextEdit="1"/>
            </xdr:cNvSpPr>
          </xdr:nvSpPr>
          <xdr:spPr>
            <a:xfrm>
              <a:off x="7689850" y="57785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311150</xdr:colOff>
      <xdr:row>3</xdr:row>
      <xdr:rowOff>19050</xdr:rowOff>
    </xdr:from>
    <xdr:to>
      <xdr:col>16</xdr:col>
      <xdr:colOff>311150</xdr:colOff>
      <xdr:row>16</xdr:row>
      <xdr:rowOff>149225</xdr:rowOff>
    </xdr:to>
    <mc:AlternateContent xmlns:mc="http://schemas.openxmlformats.org/markup-compatibility/2006">
      <mc:Choice xmlns:a14="http://schemas.microsoft.com/office/drawing/2010/main" Requires="a14">
        <xdr:graphicFrame macro="">
          <xdr:nvGraphicFramePr>
            <xdr:cNvPr id="5" name="Assessment_Year">
              <a:extLst>
                <a:ext uri="{FF2B5EF4-FFF2-40B4-BE49-F238E27FC236}">
                  <a16:creationId xmlns:a16="http://schemas.microsoft.com/office/drawing/2014/main" id="{7EFB6E5C-AB84-8D1F-C96D-2FDFB45591B2}"/>
                </a:ext>
              </a:extLst>
            </xdr:cNvPr>
            <xdr:cNvGraphicFramePr/>
          </xdr:nvGraphicFramePr>
          <xdr:xfrm>
            <a:off x="0" y="0"/>
            <a:ext cx="0" cy="0"/>
          </xdr:xfrm>
          <a:graphic>
            <a:graphicData uri="http://schemas.microsoft.com/office/drawing/2010/slicer">
              <sle:slicer xmlns:sle="http://schemas.microsoft.com/office/drawing/2010/slicer" name="Assessment_Year"/>
            </a:graphicData>
          </a:graphic>
        </xdr:graphicFrame>
      </mc:Choice>
      <mc:Fallback>
        <xdr:sp macro="" textlink="">
          <xdr:nvSpPr>
            <xdr:cNvPr id="0" name=""/>
            <xdr:cNvSpPr>
              <a:spLocks noTextEdit="1"/>
            </xdr:cNvSpPr>
          </xdr:nvSpPr>
          <xdr:spPr>
            <a:xfrm>
              <a:off x="9721850" y="57150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260350</xdr:colOff>
      <xdr:row>2</xdr:row>
      <xdr:rowOff>31750</xdr:rowOff>
    </xdr:from>
    <xdr:to>
      <xdr:col>9</xdr:col>
      <xdr:colOff>565150</xdr:colOff>
      <xdr:row>17</xdr:row>
      <xdr:rowOff>12700</xdr:rowOff>
    </xdr:to>
    <xdr:graphicFrame macro="">
      <xdr:nvGraphicFramePr>
        <xdr:cNvPr id="2" name="Chart 1">
          <a:extLst>
            <a:ext uri="{FF2B5EF4-FFF2-40B4-BE49-F238E27FC236}">
              <a16:creationId xmlns:a16="http://schemas.microsoft.com/office/drawing/2014/main" id="{FDB0DD84-C065-ACD8-DDBF-77CC828A5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38100</xdr:colOff>
      <xdr:row>3</xdr:row>
      <xdr:rowOff>158750</xdr:rowOff>
    </xdr:from>
    <xdr:to>
      <xdr:col>14</xdr:col>
      <xdr:colOff>190500</xdr:colOff>
      <xdr:row>8</xdr:row>
      <xdr:rowOff>6350</xdr:rowOff>
    </xdr:to>
    <xdr:sp macro="" textlink="'KPI Table'!C5">
      <xdr:nvSpPr>
        <xdr:cNvPr id="3" name="Rectangle 2">
          <a:extLst>
            <a:ext uri="{FF2B5EF4-FFF2-40B4-BE49-F238E27FC236}">
              <a16:creationId xmlns:a16="http://schemas.microsoft.com/office/drawing/2014/main" id="{771C5BB2-610F-4399-9DA1-30E38D32D2A0}"/>
            </a:ext>
          </a:extLst>
        </xdr:cNvPr>
        <xdr:cNvSpPr/>
      </xdr:nvSpPr>
      <xdr:spPr>
        <a:xfrm>
          <a:off x="8102600" y="711200"/>
          <a:ext cx="2590800" cy="76835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2B6DAA90-D7D1-48D6-89E8-8EF5C810F984}" type="TxLink">
            <a:rPr lang="en-US" sz="1800" b="1" i="0" u="none" strike="noStrike">
              <a:solidFill>
                <a:srgbClr val="F4A261"/>
              </a:solidFill>
              <a:latin typeface="Segoe UI"/>
              <a:cs typeface="Segoe UI"/>
            </a:rPr>
            <a:pPr algn="ctr"/>
            <a:t>Duplicate Roll Numbers 4.0%</a:t>
          </a:fld>
          <a:endParaRPr lang="en-CA" sz="1100">
            <a:solidFill>
              <a:srgbClr val="F4A261"/>
            </a:solidFill>
            <a:latin typeface="Segoe UI" panose="020B0502040204020203" pitchFamily="34" charset="0"/>
            <a:cs typeface="Segoe UI" panose="020B0502040204020203" pitchFamily="34" charset="0"/>
          </a:endParaRPr>
        </a:p>
      </xdr:txBody>
    </xdr:sp>
    <xdr:clientData/>
  </xdr:twoCellAnchor>
  <xdr:twoCellAnchor>
    <xdr:from>
      <xdr:col>5</xdr:col>
      <xdr:colOff>1003300</xdr:colOff>
      <xdr:row>8</xdr:row>
      <xdr:rowOff>120650</xdr:rowOff>
    </xdr:from>
    <xdr:to>
      <xdr:col>9</xdr:col>
      <xdr:colOff>567266</xdr:colOff>
      <xdr:row>13</xdr:row>
      <xdr:rowOff>0</xdr:rowOff>
    </xdr:to>
    <xdr:sp macro="" textlink="'KPI Table'!C7">
      <xdr:nvSpPr>
        <xdr:cNvPr id="4" name="Rectangle 3">
          <a:extLst>
            <a:ext uri="{FF2B5EF4-FFF2-40B4-BE49-F238E27FC236}">
              <a16:creationId xmlns:a16="http://schemas.microsoft.com/office/drawing/2014/main" id="{960FE6F5-866E-4C35-87A2-C34B8E1EE16B}"/>
            </a:ext>
          </a:extLst>
        </xdr:cNvPr>
        <xdr:cNvSpPr/>
      </xdr:nvSpPr>
      <xdr:spPr>
        <a:xfrm>
          <a:off x="5321300" y="1593850"/>
          <a:ext cx="2700866" cy="8001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DF0C2760-9A96-48E6-A6A3-85EC558BCDFA}" type="TxLink">
            <a:rPr lang="en-US" sz="1800" b="1" i="0" u="none" strike="noStrike">
              <a:solidFill>
                <a:srgbClr val="FF0000"/>
              </a:solidFill>
              <a:latin typeface="Segoe UI"/>
              <a:cs typeface="Segoe UI"/>
            </a:rPr>
            <a:pPr algn="ctr"/>
            <a:t>Invalid Municipality Code 2.4%</a:t>
          </a:fld>
          <a:endParaRPr lang="en-CA" sz="1100">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1</xdr:col>
      <xdr:colOff>704</xdr:colOff>
      <xdr:row>8</xdr:row>
      <xdr:rowOff>120650</xdr:rowOff>
    </xdr:from>
    <xdr:to>
      <xdr:col>3</xdr:col>
      <xdr:colOff>400050</xdr:colOff>
      <xdr:row>12</xdr:row>
      <xdr:rowOff>171450</xdr:rowOff>
    </xdr:to>
    <xdr:sp macro="" textlink="'KPI Table'!C3">
      <xdr:nvSpPr>
        <xdr:cNvPr id="5" name="Rectangle 4">
          <a:extLst>
            <a:ext uri="{FF2B5EF4-FFF2-40B4-BE49-F238E27FC236}">
              <a16:creationId xmlns:a16="http://schemas.microsoft.com/office/drawing/2014/main" id="{77A1534B-18AD-459A-94B0-5DAC401E8D5D}"/>
            </a:ext>
          </a:extLst>
        </xdr:cNvPr>
        <xdr:cNvSpPr/>
      </xdr:nvSpPr>
      <xdr:spPr>
        <a:xfrm>
          <a:off x="134054" y="1593850"/>
          <a:ext cx="2520246" cy="7874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532D2D00-F35F-4B26-A854-CB6B407AA432}" type="TxLink">
            <a:rPr lang="en-US" sz="1800" b="1" i="0" u="none" strike="noStrike">
              <a:solidFill>
                <a:srgbClr val="FF0000"/>
              </a:solidFill>
              <a:latin typeface="Segoe UI"/>
              <a:cs typeface="Segoe UI"/>
            </a:rPr>
            <a:pPr algn="ctr"/>
            <a:t>Records with Issues 22.2%</a:t>
          </a:fld>
          <a:endParaRPr lang="en-CA" sz="1100">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5</xdr:col>
      <xdr:colOff>984250</xdr:colOff>
      <xdr:row>3</xdr:row>
      <xdr:rowOff>158750</xdr:rowOff>
    </xdr:from>
    <xdr:to>
      <xdr:col>9</xdr:col>
      <xdr:colOff>557076</xdr:colOff>
      <xdr:row>7</xdr:row>
      <xdr:rowOff>177800</xdr:rowOff>
    </xdr:to>
    <xdr:sp macro="" textlink="'KPI Table'!C9">
      <xdr:nvSpPr>
        <xdr:cNvPr id="6" name="Rectangle 5">
          <a:extLst>
            <a:ext uri="{FF2B5EF4-FFF2-40B4-BE49-F238E27FC236}">
              <a16:creationId xmlns:a16="http://schemas.microsoft.com/office/drawing/2014/main" id="{7A9D5EB9-A480-469C-8BAC-657E54C75C4A}"/>
            </a:ext>
          </a:extLst>
        </xdr:cNvPr>
        <xdr:cNvSpPr/>
      </xdr:nvSpPr>
      <xdr:spPr>
        <a:xfrm>
          <a:off x="5302250" y="711200"/>
          <a:ext cx="2709726" cy="755650"/>
        </a:xfrm>
        <a:prstGeom prst="rect">
          <a:avLst/>
        </a:prstGeom>
        <a:ln>
          <a:noFill/>
        </a:ln>
        <a:effectLst>
          <a:glow rad="63500">
            <a:schemeClr val="accent6">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80B5CCD0-475F-4D4A-9270-A33D01392FD8}" type="TxLink">
            <a:rPr lang="en-US" sz="1800" b="1" i="0" u="none" strike="noStrike">
              <a:solidFill>
                <a:srgbClr val="4CAF50"/>
              </a:solidFill>
              <a:latin typeface="Segoe UI"/>
              <a:cs typeface="Segoe UI"/>
            </a:rPr>
            <a:pPr algn="ctr"/>
            <a:t>Incomplete Records
0</a:t>
          </a:fld>
          <a:endParaRPr lang="en-CA" sz="1100">
            <a:solidFill>
              <a:srgbClr val="4CAF50"/>
            </a:solidFill>
            <a:latin typeface="Segoe UI" panose="020B0502040204020203" pitchFamily="34" charset="0"/>
            <a:cs typeface="Segoe UI" panose="020B0502040204020203" pitchFamily="34" charset="0"/>
          </a:endParaRPr>
        </a:p>
      </xdr:txBody>
    </xdr:sp>
    <xdr:clientData/>
  </xdr:twoCellAnchor>
  <xdr:twoCellAnchor>
    <xdr:from>
      <xdr:col>3</xdr:col>
      <xdr:colOff>501650</xdr:colOff>
      <xdr:row>8</xdr:row>
      <xdr:rowOff>127000</xdr:rowOff>
    </xdr:from>
    <xdr:to>
      <xdr:col>5</xdr:col>
      <xdr:colOff>920750</xdr:colOff>
      <xdr:row>13</xdr:row>
      <xdr:rowOff>0</xdr:rowOff>
    </xdr:to>
    <xdr:sp macro="" textlink="'KPI Table'!C6">
      <xdr:nvSpPr>
        <xdr:cNvPr id="7" name="Rectangle 6">
          <a:extLst>
            <a:ext uri="{FF2B5EF4-FFF2-40B4-BE49-F238E27FC236}">
              <a16:creationId xmlns:a16="http://schemas.microsoft.com/office/drawing/2014/main" id="{567106A7-184B-40A8-921B-A710E712198E}"/>
            </a:ext>
          </a:extLst>
        </xdr:cNvPr>
        <xdr:cNvSpPr/>
      </xdr:nvSpPr>
      <xdr:spPr>
        <a:xfrm>
          <a:off x="2755900" y="1600200"/>
          <a:ext cx="2482850" cy="79375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92D1A7DA-202A-4080-9868-6E640BEA1AC2}" type="TxLink">
            <a:rPr lang="en-US" sz="1800" b="1" i="0" u="none" strike="noStrike">
              <a:solidFill>
                <a:srgbClr val="FF0000"/>
              </a:solidFill>
              <a:latin typeface="Segoe UI"/>
              <a:cs typeface="Segoe UI"/>
            </a:rPr>
            <a:pPr algn="ctr"/>
            <a:t>Tax Mismatches 
9.4%</a:t>
          </a:fld>
          <a:endParaRPr lang="en-CA" sz="1100">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3</xdr:col>
      <xdr:colOff>501650</xdr:colOff>
      <xdr:row>3</xdr:row>
      <xdr:rowOff>158750</xdr:rowOff>
    </xdr:from>
    <xdr:to>
      <xdr:col>5</xdr:col>
      <xdr:colOff>904601</xdr:colOff>
      <xdr:row>8</xdr:row>
      <xdr:rowOff>12700</xdr:rowOff>
    </xdr:to>
    <xdr:sp macro="" textlink="'KPI Table'!C4">
      <xdr:nvSpPr>
        <xdr:cNvPr id="9" name="Rectangle 8">
          <a:extLst>
            <a:ext uri="{FF2B5EF4-FFF2-40B4-BE49-F238E27FC236}">
              <a16:creationId xmlns:a16="http://schemas.microsoft.com/office/drawing/2014/main" id="{0D6002CB-D010-46C5-BB41-C1F23BB9386B}"/>
            </a:ext>
          </a:extLst>
        </xdr:cNvPr>
        <xdr:cNvSpPr/>
      </xdr:nvSpPr>
      <xdr:spPr>
        <a:xfrm>
          <a:off x="2755900" y="711200"/>
          <a:ext cx="2466701" cy="7747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75C8A6E6-D58B-49EA-A7BE-290C72CE1008}" type="TxLink">
            <a:rPr lang="en-US" sz="1800" b="1" i="0" u="none" strike="noStrike">
              <a:solidFill>
                <a:srgbClr val="4CAF50"/>
              </a:solidFill>
              <a:latin typeface="Segoe UI"/>
              <a:cs typeface="Segoe UI"/>
            </a:rPr>
            <a:pPr algn="ctr"/>
            <a:t>Valid Records
77.0%</a:t>
          </a:fld>
          <a:endParaRPr lang="en-CA" sz="1100">
            <a:solidFill>
              <a:srgbClr val="4CAF50"/>
            </a:solidFill>
            <a:latin typeface="Segoe UI" panose="020B0502040204020203" pitchFamily="34" charset="0"/>
            <a:cs typeface="Segoe UI" panose="020B0502040204020203" pitchFamily="34" charset="0"/>
          </a:endParaRPr>
        </a:p>
      </xdr:txBody>
    </xdr:sp>
    <xdr:clientData/>
  </xdr:twoCellAnchor>
  <xdr:twoCellAnchor>
    <xdr:from>
      <xdr:col>10</xdr:col>
      <xdr:colOff>50800</xdr:colOff>
      <xdr:row>8</xdr:row>
      <xdr:rowOff>120650</xdr:rowOff>
    </xdr:from>
    <xdr:to>
      <xdr:col>14</xdr:col>
      <xdr:colOff>203200</xdr:colOff>
      <xdr:row>12</xdr:row>
      <xdr:rowOff>165100</xdr:rowOff>
    </xdr:to>
    <xdr:sp macro="" textlink="'KPI Table'!C8">
      <xdr:nvSpPr>
        <xdr:cNvPr id="13" name="Rectangle 12">
          <a:extLst>
            <a:ext uri="{FF2B5EF4-FFF2-40B4-BE49-F238E27FC236}">
              <a16:creationId xmlns:a16="http://schemas.microsoft.com/office/drawing/2014/main" id="{776D93CF-65B8-4A91-90FF-3B5B484A5FEA}"/>
            </a:ext>
          </a:extLst>
        </xdr:cNvPr>
        <xdr:cNvSpPr/>
      </xdr:nvSpPr>
      <xdr:spPr>
        <a:xfrm>
          <a:off x="8115300" y="1593850"/>
          <a:ext cx="2590800" cy="78105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D750B8BD-C302-47C7-BDBA-3F6354A8719B}" type="TxLink">
            <a:rPr lang="en-US" sz="1800" b="1" i="0" u="none" strike="noStrike">
              <a:solidFill>
                <a:srgbClr val="6A5ACD"/>
              </a:solidFill>
              <a:latin typeface="Segoe UI"/>
              <a:cs typeface="Segoe UI"/>
            </a:rPr>
            <a:pPr algn="ctr"/>
            <a:t>Outliers
5</a:t>
          </a:fld>
          <a:endParaRPr lang="en-CA" sz="1100">
            <a:solidFill>
              <a:srgbClr val="6A5ACD"/>
            </a:solidFill>
            <a:latin typeface="Segoe UI" panose="020B0502040204020203" pitchFamily="34" charset="0"/>
            <a:cs typeface="Segoe UI" panose="020B0502040204020203" pitchFamily="34" charset="0"/>
          </a:endParaRPr>
        </a:p>
      </xdr:txBody>
    </xdr:sp>
    <xdr:clientData/>
  </xdr:twoCellAnchor>
  <xdr:twoCellAnchor>
    <xdr:from>
      <xdr:col>1</xdr:col>
      <xdr:colOff>0</xdr:colOff>
      <xdr:row>3</xdr:row>
      <xdr:rowOff>158750</xdr:rowOff>
    </xdr:from>
    <xdr:to>
      <xdr:col>3</xdr:col>
      <xdr:colOff>393700</xdr:colOff>
      <xdr:row>8</xdr:row>
      <xdr:rowOff>25400</xdr:rowOff>
    </xdr:to>
    <xdr:sp macro="" textlink="'KPI Table'!C2">
      <xdr:nvSpPr>
        <xdr:cNvPr id="15" name="Rectangle 14">
          <a:extLst>
            <a:ext uri="{FF2B5EF4-FFF2-40B4-BE49-F238E27FC236}">
              <a16:creationId xmlns:a16="http://schemas.microsoft.com/office/drawing/2014/main" id="{7E6B1FDF-C7D4-48C0-9C32-5789ECE44A53}"/>
            </a:ext>
          </a:extLst>
        </xdr:cNvPr>
        <xdr:cNvSpPr/>
      </xdr:nvSpPr>
      <xdr:spPr>
        <a:xfrm>
          <a:off x="133350" y="711200"/>
          <a:ext cx="2514600" cy="7874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3E9F1A88-94E9-49E8-A8F0-DB9FB80632AD}" type="TxLink">
            <a:rPr lang="en-US" sz="1800" b="1" i="0" u="none" strike="noStrike">
              <a:solidFill>
                <a:srgbClr val="1F4E79"/>
              </a:solidFill>
              <a:latin typeface="Segoe UI"/>
              <a:cs typeface="Segoe UI"/>
            </a:rPr>
            <a:pPr algn="ctr"/>
            <a:t>Total Records
500</a:t>
          </a:fld>
          <a:endParaRPr lang="en-CA" sz="1100">
            <a:solidFill>
              <a:srgbClr val="1F4E79"/>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120650</xdr:colOff>
      <xdr:row>13</xdr:row>
      <xdr:rowOff>139700</xdr:rowOff>
    </xdr:from>
    <xdr:to>
      <xdr:col>2</xdr:col>
      <xdr:colOff>501650</xdr:colOff>
      <xdr:row>27</xdr:row>
      <xdr:rowOff>85725</xdr:rowOff>
    </xdr:to>
    <mc:AlternateContent xmlns:mc="http://schemas.openxmlformats.org/markup-compatibility/2006">
      <mc:Choice xmlns:a14="http://schemas.microsoft.com/office/drawing/2010/main" Requires="a14">
        <xdr:graphicFrame macro="">
          <xdr:nvGraphicFramePr>
            <xdr:cNvPr id="16" name="Municipality_Name 1">
              <a:extLst>
                <a:ext uri="{FF2B5EF4-FFF2-40B4-BE49-F238E27FC236}">
                  <a16:creationId xmlns:a16="http://schemas.microsoft.com/office/drawing/2014/main" id="{CF4EB259-7C7A-4B8B-BE02-076075317E7F}"/>
                </a:ext>
              </a:extLst>
            </xdr:cNvPr>
            <xdr:cNvGraphicFramePr/>
          </xdr:nvGraphicFramePr>
          <xdr:xfrm>
            <a:off x="0" y="0"/>
            <a:ext cx="0" cy="0"/>
          </xdr:xfrm>
          <a:graphic>
            <a:graphicData uri="http://schemas.microsoft.com/office/drawing/2010/slicer">
              <sle:slicer xmlns:sle="http://schemas.microsoft.com/office/drawing/2010/slicer" name="Municipality_Name 1"/>
            </a:graphicData>
          </a:graphic>
        </xdr:graphicFrame>
      </mc:Choice>
      <mc:Fallback>
        <xdr:sp macro="" textlink="">
          <xdr:nvSpPr>
            <xdr:cNvPr id="0" name=""/>
            <xdr:cNvSpPr>
              <a:spLocks noTextEdit="1"/>
            </xdr:cNvSpPr>
          </xdr:nvSpPr>
          <xdr:spPr>
            <a:xfrm>
              <a:off x="120650" y="253365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427566</xdr:colOff>
      <xdr:row>14</xdr:row>
      <xdr:rowOff>88900</xdr:rowOff>
    </xdr:from>
    <xdr:to>
      <xdr:col>9</xdr:col>
      <xdr:colOff>281516</xdr:colOff>
      <xdr:row>29</xdr:row>
      <xdr:rowOff>69850</xdr:rowOff>
    </xdr:to>
    <xdr:graphicFrame macro="">
      <xdr:nvGraphicFramePr>
        <xdr:cNvPr id="18" name="Chart 17">
          <a:extLst>
            <a:ext uri="{FF2B5EF4-FFF2-40B4-BE49-F238E27FC236}">
              <a16:creationId xmlns:a16="http://schemas.microsoft.com/office/drawing/2014/main" id="{7C3BBBC4-98CD-419B-9976-6817FCB80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368300</xdr:colOff>
      <xdr:row>14</xdr:row>
      <xdr:rowOff>76200</xdr:rowOff>
    </xdr:from>
    <xdr:to>
      <xdr:col>14</xdr:col>
      <xdr:colOff>520700</xdr:colOff>
      <xdr:row>28</xdr:row>
      <xdr:rowOff>171450</xdr:rowOff>
    </xdr:to>
    <xdr:graphicFrame macro="">
      <xdr:nvGraphicFramePr>
        <xdr:cNvPr id="20" name="Chart 19">
          <a:extLst>
            <a:ext uri="{FF2B5EF4-FFF2-40B4-BE49-F238E27FC236}">
              <a16:creationId xmlns:a16="http://schemas.microsoft.com/office/drawing/2014/main" id="{67E82DDE-9372-4114-81C2-5069F7A01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215900</xdr:colOff>
      <xdr:row>27</xdr:row>
      <xdr:rowOff>165100</xdr:rowOff>
    </xdr:from>
    <xdr:to>
      <xdr:col>2</xdr:col>
      <xdr:colOff>514350</xdr:colOff>
      <xdr:row>41</xdr:row>
      <xdr:rowOff>111125</xdr:rowOff>
    </xdr:to>
    <mc:AlternateContent xmlns:mc="http://schemas.openxmlformats.org/markup-compatibility/2006">
      <mc:Choice xmlns:a14="http://schemas.microsoft.com/office/drawing/2010/main" Requires="a14">
        <xdr:graphicFrame macro="">
          <xdr:nvGraphicFramePr>
            <xdr:cNvPr id="21" name="Property_Class 1">
              <a:extLst>
                <a:ext uri="{FF2B5EF4-FFF2-40B4-BE49-F238E27FC236}">
                  <a16:creationId xmlns:a16="http://schemas.microsoft.com/office/drawing/2014/main" id="{4A5FD0E0-2DF4-400C-A4DD-63B567CB2FE4}"/>
                </a:ext>
              </a:extLst>
            </xdr:cNvPr>
            <xdr:cNvGraphicFramePr/>
          </xdr:nvGraphicFramePr>
          <xdr:xfrm>
            <a:off x="0" y="0"/>
            <a:ext cx="0" cy="0"/>
          </xdr:xfrm>
          <a:graphic>
            <a:graphicData uri="http://schemas.microsoft.com/office/drawing/2010/slicer">
              <sle:slicer xmlns:sle="http://schemas.microsoft.com/office/drawing/2010/slicer" name="Property_Class 1"/>
            </a:graphicData>
          </a:graphic>
        </xdr:graphicFrame>
      </mc:Choice>
      <mc:Fallback>
        <xdr:sp macro="" textlink="">
          <xdr:nvSpPr>
            <xdr:cNvPr id="0" name=""/>
            <xdr:cNvSpPr>
              <a:spLocks noTextEdit="1"/>
            </xdr:cNvSpPr>
          </xdr:nvSpPr>
          <xdr:spPr>
            <a:xfrm>
              <a:off x="133350" y="513715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603250</xdr:colOff>
      <xdr:row>27</xdr:row>
      <xdr:rowOff>101600</xdr:rowOff>
    </xdr:from>
    <xdr:to>
      <xdr:col>8</xdr:col>
      <xdr:colOff>88900</xdr:colOff>
      <xdr:row>42</xdr:row>
      <xdr:rowOff>82550</xdr:rowOff>
    </xdr:to>
    <xdr:graphicFrame macro="">
      <xdr:nvGraphicFramePr>
        <xdr:cNvPr id="23" name="Chart 22">
          <a:extLst>
            <a:ext uri="{FF2B5EF4-FFF2-40B4-BE49-F238E27FC236}">
              <a16:creationId xmlns:a16="http://schemas.microsoft.com/office/drawing/2014/main" id="{80D91550-ED8C-4806-8C44-329B03850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95250</xdr:colOff>
      <xdr:row>28</xdr:row>
      <xdr:rowOff>95250</xdr:rowOff>
    </xdr:from>
    <xdr:to>
      <xdr:col>14</xdr:col>
      <xdr:colOff>596900</xdr:colOff>
      <xdr:row>43</xdr:row>
      <xdr:rowOff>76200</xdr:rowOff>
    </xdr:to>
    <xdr:graphicFrame macro="">
      <xdr:nvGraphicFramePr>
        <xdr:cNvPr id="25" name="Chart 24">
          <a:extLst>
            <a:ext uri="{FF2B5EF4-FFF2-40B4-BE49-F238E27FC236}">
              <a16:creationId xmlns:a16="http://schemas.microsoft.com/office/drawing/2014/main" id="{9D1BDCF3-1529-45C9-BCC6-881D633B0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569383</xdr:colOff>
      <xdr:row>13</xdr:row>
      <xdr:rowOff>146050</xdr:rowOff>
    </xdr:from>
    <xdr:to>
      <xdr:col>4</xdr:col>
      <xdr:colOff>474133</xdr:colOff>
      <xdr:row>27</xdr:row>
      <xdr:rowOff>92075</xdr:rowOff>
    </xdr:to>
    <mc:AlternateContent xmlns:mc="http://schemas.openxmlformats.org/markup-compatibility/2006">
      <mc:Choice xmlns:a14="http://schemas.microsoft.com/office/drawing/2010/main" Requires="a14">
        <xdr:graphicFrame macro="">
          <xdr:nvGraphicFramePr>
            <xdr:cNvPr id="26" name="Assessment_Year 1">
              <a:extLst>
                <a:ext uri="{FF2B5EF4-FFF2-40B4-BE49-F238E27FC236}">
                  <a16:creationId xmlns:a16="http://schemas.microsoft.com/office/drawing/2014/main" id="{AFE3E401-8AED-4D42-AF6D-1869A3DAA287}"/>
                </a:ext>
              </a:extLst>
            </xdr:cNvPr>
            <xdr:cNvGraphicFramePr/>
          </xdr:nvGraphicFramePr>
          <xdr:xfrm>
            <a:off x="0" y="0"/>
            <a:ext cx="0" cy="0"/>
          </xdr:xfrm>
          <a:graphic>
            <a:graphicData uri="http://schemas.microsoft.com/office/drawing/2010/slicer">
              <sle:slicer xmlns:sle="http://schemas.microsoft.com/office/drawing/2010/slicer" name="Assessment_Year 1"/>
            </a:graphicData>
          </a:graphic>
        </xdr:graphicFrame>
      </mc:Choice>
      <mc:Fallback>
        <xdr:sp macro="" textlink="">
          <xdr:nvSpPr>
            <xdr:cNvPr id="0" name=""/>
            <xdr:cNvSpPr>
              <a:spLocks noTextEdit="1"/>
            </xdr:cNvSpPr>
          </xdr:nvSpPr>
          <xdr:spPr>
            <a:xfrm>
              <a:off x="2017183" y="254000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xdr:row>
      <xdr:rowOff>63500</xdr:rowOff>
    </xdr:from>
    <xdr:to>
      <xdr:col>14</xdr:col>
      <xdr:colOff>209550</xdr:colOff>
      <xdr:row>3</xdr:row>
      <xdr:rowOff>63500</xdr:rowOff>
    </xdr:to>
    <xdr:sp macro="" textlink="">
      <xdr:nvSpPr>
        <xdr:cNvPr id="27" name="Rectangle 26">
          <a:extLst>
            <a:ext uri="{FF2B5EF4-FFF2-40B4-BE49-F238E27FC236}">
              <a16:creationId xmlns:a16="http://schemas.microsoft.com/office/drawing/2014/main" id="{6AAEB656-B4A9-0702-A2A7-CCA4BAF7F0FD}"/>
            </a:ext>
          </a:extLst>
        </xdr:cNvPr>
        <xdr:cNvSpPr/>
      </xdr:nvSpPr>
      <xdr:spPr>
        <a:xfrm>
          <a:off x="133350" y="247650"/>
          <a:ext cx="10579100" cy="3683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r>
            <a:rPr lang="en-CA" sz="2000" b="1">
              <a:solidFill>
                <a:srgbClr val="1F4E79"/>
              </a:solidFill>
              <a:latin typeface="Segoe UI" panose="020B0502040204020203" pitchFamily="34" charset="0"/>
              <a:cs typeface="Segoe UI" panose="020B0502040204020203" pitchFamily="34" charset="0"/>
            </a:rPr>
            <a:t>Propert Tax &amp; Assessment Data Quality Dashboard</a:t>
          </a:r>
        </a:p>
      </xdr:txBody>
    </xdr:sp>
    <xdr:clientData/>
  </xdr:twoCellAnchor>
  <xdr:twoCellAnchor>
    <xdr:from>
      <xdr:col>7</xdr:col>
      <xdr:colOff>63500</xdr:colOff>
      <xdr:row>42</xdr:row>
      <xdr:rowOff>114300</xdr:rowOff>
    </xdr:from>
    <xdr:to>
      <xdr:col>14</xdr:col>
      <xdr:colOff>330200</xdr:colOff>
      <xdr:row>56</xdr:row>
      <xdr:rowOff>304800</xdr:rowOff>
    </xdr:to>
    <xdr:sp macro="" textlink="">
      <xdr:nvSpPr>
        <xdr:cNvPr id="29" name="Rectangle 28" descr="• 77% of records are valid, indicating generally strong data quality. &#10;• Tax mismatches are the most prevalent issue (47 cases). &#10;• Toronto and Ottawa exhibit the highest concentration of data quality issues. &#10;• Multi-residential properties show the highest average assessed values.&#10;">
          <a:extLst>
            <a:ext uri="{FF2B5EF4-FFF2-40B4-BE49-F238E27FC236}">
              <a16:creationId xmlns:a16="http://schemas.microsoft.com/office/drawing/2014/main" id="{FFA982AA-8F7B-59D6-75CE-2EBAF63DFFE9}"/>
            </a:ext>
          </a:extLst>
        </xdr:cNvPr>
        <xdr:cNvSpPr/>
      </xdr:nvSpPr>
      <xdr:spPr>
        <a:xfrm>
          <a:off x="6299200" y="7848600"/>
          <a:ext cx="4533900" cy="27686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CA" sz="1800" b="1">
              <a:solidFill>
                <a:srgbClr val="1F4E79"/>
              </a:solidFill>
              <a:latin typeface="Segoe UI" panose="020B0502040204020203" pitchFamily="34" charset="0"/>
              <a:cs typeface="Segoe UI" panose="020B0502040204020203" pitchFamily="34" charset="0"/>
            </a:rPr>
            <a:t>Key Insights:</a:t>
          </a:r>
        </a:p>
        <a:p>
          <a:pPr algn="l"/>
          <a:r>
            <a:rPr lang="en-CA" sz="1200" b="1">
              <a:latin typeface="Segoe UI" panose="020B0502040204020203" pitchFamily="34" charset="0"/>
              <a:cs typeface="Segoe UI" panose="020B0502040204020203" pitchFamily="34" charset="0"/>
            </a:rPr>
            <a:t>* 77% of the records are valid, indicating generally strong data quality.</a:t>
          </a:r>
        </a:p>
        <a:p>
          <a:pPr algn="l"/>
          <a:endParaRPr lang="en-CA" sz="1200" b="1">
            <a:latin typeface="Segoe UI" panose="020B0502040204020203" pitchFamily="34" charset="0"/>
            <a:cs typeface="Segoe UI" panose="020B0502040204020203" pitchFamily="34" charset="0"/>
          </a:endParaRPr>
        </a:p>
        <a:p>
          <a:pPr algn="l"/>
          <a:r>
            <a:rPr lang="en-CA" sz="1200" b="1">
              <a:latin typeface="Segoe UI" panose="020B0502040204020203" pitchFamily="34" charset="0"/>
              <a:cs typeface="Segoe UI" panose="020B0502040204020203" pitchFamily="34" charset="0"/>
            </a:rPr>
            <a:t>* Tax mismatches are the most prevailent issues with 9.4% of total records</a:t>
          </a:r>
          <a:r>
            <a:rPr lang="en-CA" sz="1200" b="1" baseline="0">
              <a:latin typeface="Segoe UI" panose="020B0502040204020203" pitchFamily="34" charset="0"/>
              <a:cs typeface="Segoe UI" panose="020B0502040204020203" pitchFamily="34" charset="0"/>
            </a:rPr>
            <a:t> with issues.</a:t>
          </a:r>
        </a:p>
        <a:p>
          <a:pPr algn="l"/>
          <a:endParaRPr lang="en-CA" sz="1200" b="1" baseline="0">
            <a:latin typeface="Segoe UI" panose="020B0502040204020203" pitchFamily="34" charset="0"/>
            <a:cs typeface="Segoe UI" panose="020B0502040204020203" pitchFamily="34" charset="0"/>
          </a:endParaRPr>
        </a:p>
        <a:p>
          <a:pPr algn="l"/>
          <a:r>
            <a:rPr lang="en-CA" sz="1200" b="1" baseline="0">
              <a:latin typeface="Segoe UI" panose="020B0502040204020203" pitchFamily="34" charset="0"/>
              <a:cs typeface="Segoe UI" panose="020B0502040204020203" pitchFamily="34" charset="0"/>
            </a:rPr>
            <a:t>* Toronto and Ottawa exhibit the highest concentration of data quality issues.</a:t>
          </a:r>
        </a:p>
        <a:p>
          <a:pPr algn="l"/>
          <a:endParaRPr lang="en-CA" sz="1200" b="1" baseline="0">
            <a:latin typeface="Segoe UI" panose="020B0502040204020203" pitchFamily="34" charset="0"/>
            <a:cs typeface="Segoe UI" panose="020B0502040204020203" pitchFamily="34" charset="0"/>
          </a:endParaRPr>
        </a:p>
        <a:p>
          <a:pPr algn="l"/>
          <a:r>
            <a:rPr lang="en-CA" sz="1200" b="1" baseline="0">
              <a:latin typeface="Segoe UI" panose="020B0502040204020203" pitchFamily="34" charset="0"/>
              <a:cs typeface="Segoe UI" panose="020B0502040204020203" pitchFamily="34" charset="0"/>
            </a:rPr>
            <a:t>* Multi-residential properties show the highest average assessed values.</a:t>
          </a:r>
          <a:endParaRPr lang="en-CA" sz="1200" b="1">
            <a:latin typeface="Segoe UI" panose="020B0502040204020203" pitchFamily="34" charset="0"/>
            <a:cs typeface="Segoe UI" panose="020B0502040204020203" pitchFamily="34" charset="0"/>
          </a:endParaRPr>
        </a:p>
      </xdr:txBody>
    </xdr:sp>
    <xdr:clientData/>
  </xdr:twoCellAnchor>
  <xdr:twoCellAnchor>
    <xdr:from>
      <xdr:col>0</xdr:col>
      <xdr:colOff>127000</xdr:colOff>
      <xdr:row>42</xdr:row>
      <xdr:rowOff>25400</xdr:rowOff>
    </xdr:from>
    <xdr:to>
      <xdr:col>5</xdr:col>
      <xdr:colOff>1282700</xdr:colOff>
      <xdr:row>43</xdr:row>
      <xdr:rowOff>165100</xdr:rowOff>
    </xdr:to>
    <xdr:sp macro="" textlink="">
      <xdr:nvSpPr>
        <xdr:cNvPr id="32" name="Rectangle 31">
          <a:extLst>
            <a:ext uri="{FF2B5EF4-FFF2-40B4-BE49-F238E27FC236}">
              <a16:creationId xmlns:a16="http://schemas.microsoft.com/office/drawing/2014/main" id="{EF810358-0875-FF4A-05F0-0A95341E42C8}"/>
            </a:ext>
          </a:extLst>
        </xdr:cNvPr>
        <xdr:cNvSpPr/>
      </xdr:nvSpPr>
      <xdr:spPr>
        <a:xfrm>
          <a:off x="127000" y="7759700"/>
          <a:ext cx="5473700" cy="32385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r>
            <a:rPr lang="en-CA" sz="1800" b="1">
              <a:solidFill>
                <a:srgbClr val="1F4E79"/>
              </a:solidFill>
              <a:latin typeface="Segoe UI" panose="020B0502040204020203" pitchFamily="34" charset="0"/>
              <a:cs typeface="Segoe UI" panose="020B0502040204020203" pitchFamily="34" charset="0"/>
            </a:rPr>
            <a:t>Top 10 Data Quality Exceptions</a:t>
          </a:r>
        </a:p>
      </xdr:txBody>
    </xdr:sp>
    <xdr:clientData/>
  </xdr:twoCellAnchor>
</xdr:wsDr>
</file>

<file path=xl/drawings/drawing6.xml><?xml version="1.0" encoding="utf-8"?>
<c:userShapes xmlns:c="http://schemas.openxmlformats.org/drawingml/2006/chart">
  <cdr:relSizeAnchor xmlns:cdr="http://schemas.openxmlformats.org/drawingml/2006/chartDrawing">
    <cdr:from>
      <cdr:x>0.13282</cdr:x>
      <cdr:y>0.13194</cdr:y>
    </cdr:from>
    <cdr:to>
      <cdr:x>0.82595</cdr:x>
      <cdr:y>0.21991</cdr:y>
    </cdr:to>
    <cdr:sp macro="" textlink="">
      <cdr:nvSpPr>
        <cdr:cNvPr id="2" name="Rectangle 1">
          <a:extLst xmlns:a="http://schemas.openxmlformats.org/drawingml/2006/main">
            <a:ext uri="{FF2B5EF4-FFF2-40B4-BE49-F238E27FC236}">
              <a16:creationId xmlns:a16="http://schemas.microsoft.com/office/drawing/2014/main" id="{9785E51D-216F-DAE5-31B3-679A2BD972F1}"/>
            </a:ext>
          </a:extLst>
        </cdr:cNvPr>
        <cdr:cNvSpPr/>
      </cdr:nvSpPr>
      <cdr:spPr>
        <a:xfrm xmlns:a="http://schemas.openxmlformats.org/drawingml/2006/main">
          <a:off x="552450" y="361950"/>
          <a:ext cx="2882900" cy="241300"/>
        </a:xfrm>
        <a:prstGeom xmlns:a="http://schemas.openxmlformats.org/drawingml/2006/main" prst="rect">
          <a:avLst/>
        </a:prstGeom>
        <a:ln xmlns:a="http://schemas.openxmlformats.org/drawingml/2006/main">
          <a:noFill/>
        </a:l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vertOverflow="clip" anchor="ctr"/>
        <a:lstStyle xmlns:a="http://schemas.openxmlformats.org/drawingml/2006/main"/>
        <a:p xmlns:a="http://schemas.openxmlformats.org/drawingml/2006/main">
          <a:pPr algn="ctr"/>
          <a:r>
            <a:rPr lang="en-CA" sz="1000" b="1" kern="1200">
              <a:solidFill>
                <a:srgbClr val="1F4E79"/>
              </a:solidFill>
              <a:latin typeface="Segoe UI" panose="020B0502040204020203" pitchFamily="34" charset="0"/>
              <a:cs typeface="Segoe UI" panose="020B0502040204020203" pitchFamily="34" charset="0"/>
            </a:rPr>
            <a:t>"Mean Assessed Value by Property Class"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odunrin Oketade" refreshedDate="46125.497938425928" createdVersion="8" refreshedVersion="8" minRefreshableVersion="3" recordCount="500" xr:uid="{3F7D4D47-C9F9-4C4B-B15C-CD4A6094EF54}">
  <cacheSource type="worksheet">
    <worksheetSource name="Clean_Data"/>
  </cacheSource>
  <cacheFields count="29">
    <cacheField name="Roll_Number" numFmtId="0">
      <sharedItems/>
    </cacheField>
    <cacheField name="Municipality_Code" numFmtId="0">
      <sharedItems/>
    </cacheField>
    <cacheField name="Municipality_Name" numFmtId="0">
      <sharedItems count="11">
        <s v="Ottawa"/>
        <s v="Toronto"/>
        <s v="Oshawa"/>
        <s v="Brampton"/>
        <s v="London"/>
        <s v="Guelph"/>
        <s v="Mississauga"/>
        <s v="Hamilton"/>
        <s v="Windsor"/>
        <s v=""/>
        <s v="Kingston"/>
      </sharedItems>
    </cacheField>
    <cacheField name="Property_Class" numFmtId="0">
      <sharedItems count="9">
        <s v="Residential"/>
        <s v="Industrial"/>
        <s v="Agricultural"/>
        <s v="Commercial"/>
        <s v="Multi-Residential"/>
        <s v="Other"/>
        <s v="Resdential"/>
        <s v="Vacant Land"/>
        <s v="Mixed Use"/>
      </sharedItems>
    </cacheField>
    <cacheField name="Assessment_Year" numFmtId="0">
      <sharedItems containsSemiMixedTypes="0" containsString="0" containsNumber="1" containsInteger="1" minValue="2021" maxValue="2024" count="4">
        <n v="2023"/>
        <n v="2022"/>
        <n v="2021"/>
        <n v="2024"/>
      </sharedItems>
    </cacheField>
    <cacheField name="Assessed_Value" numFmtId="0">
      <sharedItems containsSemiMixedTypes="0" containsString="0" containsNumber="1" containsInteger="1" minValue="293678" maxValue="185450623"/>
    </cacheField>
    <cacheField name="Tax_Rate" numFmtId="0">
      <sharedItems containsSemiMixedTypes="0" containsString="0" containsNumber="1" minValue="7.7999999999999996E-3" maxValue="2.0899999999999998E-2"/>
    </cacheField>
    <cacheField name="Calculated_Tax" numFmtId="0">
      <sharedItems containsSemiMixedTypes="0" containsString="0" containsNumber="1" minValue="3759.08" maxValue="2670488.9700000002"/>
    </cacheField>
    <cacheField name="Address" numFmtId="0">
      <sharedItems/>
    </cacheField>
    <cacheField name="Postal_Code" numFmtId="0">
      <sharedItems/>
    </cacheField>
    <cacheField name="Owner_Name" numFmtId="0">
      <sharedItems/>
    </cacheField>
    <cacheField name="Sale_Price" numFmtId="0">
      <sharedItems containsString="0" containsBlank="1" containsNumber="1" containsInteger="1" minValue="279427" maxValue="19561379"/>
    </cacheField>
    <cacheField name="Sale_Date" numFmtId="14">
      <sharedItems containsNonDate="0" containsDate="1" containsString="0" containsBlank="1" minDate="2019-01-06T00:00:00" maxDate="2027-12-28T00:00:00"/>
    </cacheField>
    <cacheField name="Expected_Municipality_Name" numFmtId="0">
      <sharedItems containsBlank="1"/>
    </cacheField>
    <cacheField name="Expected_Tax_Rate" numFmtId="0">
      <sharedItems containsString="0" containsBlank="1" containsNumber="1" minValue="9.1000000000000004E-3" maxValue="2.0899999999999998E-2"/>
    </cacheField>
    <cacheField name="Roll_Count" numFmtId="0">
      <sharedItems containsSemiMixedTypes="0" containsString="0" containsNumber="1" containsInteger="1" minValue="1" maxValue="2"/>
    </cacheField>
    <cacheField name="Property_Class_Description" numFmtId="0">
      <sharedItems containsBlank="1"/>
    </cacheField>
    <cacheField name="Municipality_Code_Check" numFmtId="0">
      <sharedItems/>
    </cacheField>
    <cacheField name="Municipality_Name_Check" numFmtId="0">
      <sharedItems/>
    </cacheField>
    <cacheField name="Tax_Check" numFmtId="0">
      <sharedItems/>
    </cacheField>
    <cacheField name="Duplicate_Check" numFmtId="0">
      <sharedItems/>
    </cacheField>
    <cacheField name="Postal_Code_Check" numFmtId="0">
      <sharedItems/>
    </cacheField>
    <cacheField name="Property_Class_Check" numFmtId="0">
      <sharedItems/>
    </cacheField>
    <cacheField name="Sale_Date_Check" numFmtId="0">
      <sharedItems containsBlank="1"/>
    </cacheField>
    <cacheField name="Completeness_Check" numFmtId="0">
      <sharedItems/>
    </cacheField>
    <cacheField name="Mean_Assessed_Value" numFmtId="0">
      <sharedItems containsSemiMixedTypes="0" containsString="0" containsNumber="1" minValue="4842179.1619999995" maxValue="4842179.1619999995"/>
    </cacheField>
    <cacheField name="StdDev_Assessed_Value" numFmtId="0">
      <sharedItems containsSemiMixedTypes="0" containsString="0" containsNumber="1" minValue="12553041.036323847" maxValue="12553041.036323847"/>
    </cacheField>
    <cacheField name="Outlier_Check" numFmtId="0">
      <sharedItems/>
    </cacheField>
    <cacheField name="Overall_Status" numFmtId="0">
      <sharedItems containsBlank="1" count="3">
        <s v="Valid"/>
        <s v="Issue"/>
        <m/>
      </sharedItems>
    </cacheField>
  </cacheFields>
  <extLst>
    <ext xmlns:x14="http://schemas.microsoft.com/office/spreadsheetml/2009/9/main" uri="{725AE2AE-9491-48be-B2B4-4EB974FC3084}">
      <x14:pivotCacheDefinition pivotCacheId="7008429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odunrin Oketade" refreshedDate="46125.549154976849" createdVersion="8" refreshedVersion="8" minRefreshableVersion="3" recordCount="9" xr:uid="{725F3986-5728-47CF-9F11-357F91FDD572}">
  <cacheSource type="worksheet">
    <worksheetSource ref="B16:C25" sheet="KPI Table"/>
  </cacheSource>
  <cacheFields count="2">
    <cacheField name="Issue Type" numFmtId="0">
      <sharedItems count="9">
        <s v="Invalid Municipality Code"/>
        <s v="Municipality Name Mismatch"/>
        <s v="Invalid Property Class"/>
        <s v="Tax Mismatch"/>
        <s v="Duplicate Roll Number"/>
        <s v="Invalid Postal Code"/>
        <s v="Invalid Sale Date"/>
        <s v="Incomplete Record"/>
        <s v="Outlier"/>
      </sharedItems>
    </cacheField>
    <cacheField name="Number" numFmtId="0">
      <sharedItems containsSemiMixedTypes="0" containsString="0" containsNumber="1" containsInteger="1" minValue="0" maxValue="4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odunrin Oketade" refreshedDate="46125.78117303241" createdVersion="8" refreshedVersion="8" minRefreshableVersion="3" recordCount="111" xr:uid="{2F2CD15F-DB6D-4A2C-8121-B45722264069}">
  <cacheSource type="worksheet">
    <worksheetSource name="Data_Quality_Issues"/>
  </cacheSource>
  <cacheFields count="30">
    <cacheField name="Roll_Number" numFmtId="0">
      <sharedItems count="101">
        <s v="2245-OSH-928-00002"/>
        <s v="2463-OSH-498-00029"/>
        <s v="2364-LON-697-00006"/>
        <s v="2431-MSS-488-00013"/>
        <s v="2123-OSH-609-00199"/>
        <s v="2126-WDR-752-00018"/>
        <s v="2215-GUE-415-00019"/>
        <s v="2310-BRN-411-00024"/>
        <s v="2493-BRN-804-00026"/>
        <s v="2171-KIN-216-00040"/>
        <s v="2421-MSS-401-00037"/>
        <s v="2134-OSH-225-00060"/>
        <s v="2466-BRN-175-00063"/>
        <s v="2491-OTT-527-00071"/>
        <s v="2253-MSS-909-00110"/>
        <s v="2144-OTT-560-00081"/>
        <s v="2271-MSS-398-00484"/>
        <s v="2425-HAM-368-00091"/>
        <s v="2335-KIN-716-00101"/>
        <s v="2278-WDR-377-00107"/>
        <s v="2140-KIN-557-00111"/>
        <s v="2338-OTT-236-00112"/>
        <s v="2170-OSH-132-00115"/>
        <s v="2481-MSS-642-00120"/>
        <s v="2252-OTT-410-00121"/>
        <s v="2435-OSH-437-00123"/>
        <s v="2389-LON-506-00189"/>
        <s v="2489-LON-753-00125"/>
        <s v="2145-MSS-531-00133"/>
        <s v="2365-GUE-935-00134"/>
        <s v="2486-HAM-590-00136"/>
        <s v="2422-LON-548-00139"/>
        <s v="2433-MSS-755-00140"/>
        <s v="2433-OSH-422-00143"/>
        <s v="2319-TOR-954-00267"/>
        <s v="2266-HAM-109-00151"/>
        <s v="2164-WDR-378-00158"/>
        <s v="2210-GUE-145-00159"/>
        <s v="2396-OTT-153-00160"/>
        <s v="2273-HAM-521-00168"/>
        <s v="2163-OTT-270-00175"/>
        <s v="2396-HAM-420-00201"/>
        <s v="2486-WDR-636-00196"/>
        <s v="2425-TOR-660-00198"/>
        <s v="2444-OTT-955-00202"/>
        <s v="2316-LON-936-00207"/>
        <s v="2478-OSH-392-00212"/>
        <s v="2294-OTT-439-00217"/>
        <s v="2446-BRN-125-00218"/>
        <s v="2392-WDR-482-00222"/>
        <s v="2415-BRN-814-00235"/>
        <s v="2488-WDR-382-00237"/>
        <s v="2167-BRN-901-00238"/>
        <s v="2320-OTT-723-00239"/>
        <s v="2255-KIN-323-00244"/>
        <s v="2343-OTT-291-00247"/>
        <s v="2420-TOR-206-00253"/>
        <s v="2372-MSS-294-00263"/>
        <s v="2392-HAM-429-00265"/>
        <s v="2148-WDR-106-00270"/>
        <s v="2439-GUE-304-00276"/>
        <s v="2194-TOR-377-00278"/>
        <s v="2415-GUE-886-00288"/>
        <s v="2216-OTT-941-00432"/>
        <s v="2499-KIN-314-00292"/>
        <s v="2396-TOR-423-00296"/>
        <s v="2121-OTT-554-00298"/>
        <s v="2245-LON-645-00300"/>
        <s v="2261-KIN-937-00304"/>
        <s v="2247-TOR-499-00307"/>
        <s v="2190-OSH-859-00312"/>
        <s v="2333-GUE-420-00318"/>
        <s v="2210-TOR-138-00322"/>
        <s v="2225-TOR-380-00328"/>
        <s v="2482-KIN-235-00343"/>
        <s v="2475-KIN-385-00363"/>
        <s v="2125-OSH-492-00365"/>
        <s v="2313-GUE-704-00367"/>
        <s v="2285-LON-186-00368"/>
        <s v="2359-GUE-430-00369"/>
        <s v="2286-WDR-341-00373"/>
        <s v="2381-BRN-148-00403"/>
        <s v="2246-OSH-782-00412"/>
        <s v="2226-OTT-365-00429"/>
        <s v="2264-GUE-176-00431"/>
        <s v="2166-OTT-156-00433"/>
        <s v="2169-LON-914-00434"/>
        <s v="2195-LON-587-00437"/>
        <s v="2441-KIN-147-00441"/>
        <s v="2488-LON-166-00442"/>
        <s v="2120-KIN-402-00444"/>
        <s v="2382-OSH-904-00449"/>
        <s v="2260-OSH-538-00459"/>
        <s v="2226-LON-193-00464"/>
        <s v="2435-WDR-378-00465"/>
        <s v="2374-HAM-645-00470"/>
        <s v="2488-MSS-913-00476"/>
        <s v="2438-HAM-836-00478"/>
        <s v="2458-OTT-769-00479"/>
        <s v="2175-MSS-765-00485"/>
        <s v="2484-TOR-651-00488"/>
      </sharedItems>
    </cacheField>
    <cacheField name="Municipality_Code" numFmtId="0">
      <sharedItems/>
    </cacheField>
    <cacheField name="Municipality_Name" numFmtId="0">
      <sharedItems count="11">
        <s v="Oshawa"/>
        <s v="London"/>
        <s v="Mississauga"/>
        <s v="Hamilton"/>
        <s v="Windsor"/>
        <s v=""/>
        <s v="Brampton"/>
        <s v="Kingston"/>
        <s v="Guelph"/>
        <s v="Ottawa"/>
        <s v="Toronto"/>
      </sharedItems>
    </cacheField>
    <cacheField name="Property_Class" numFmtId="0">
      <sharedItems count="9">
        <s v="Agricultural"/>
        <s v="Multi-Residential"/>
        <s v="Commercial"/>
        <s v="Residential"/>
        <s v="Industrial"/>
        <s v="Other"/>
        <s v="Resdential"/>
        <s v="Vacant Land"/>
        <s v="Mixed Use"/>
      </sharedItems>
    </cacheField>
    <cacheField name="Assessment_Year" numFmtId="0">
      <sharedItems containsSemiMixedTypes="0" containsString="0" containsNumber="1" containsInteger="1" minValue="2021" maxValue="2024"/>
    </cacheField>
    <cacheField name="Assessed_Value" numFmtId="0">
      <sharedItems containsSemiMixedTypes="0" containsString="0" containsNumber="1" containsInteger="1" minValue="582994" maxValue="185450623" count="111">
        <n v="1593640"/>
        <n v="635105"/>
        <n v="658934"/>
        <n v="10228390"/>
        <n v="4485225"/>
        <n v="1354463"/>
        <n v="4913878"/>
        <n v="658515"/>
        <n v="6332407"/>
        <n v="19873169"/>
        <n v="1094966"/>
        <n v="1806945"/>
        <n v="2717984"/>
        <n v="1996935"/>
        <n v="4229631"/>
        <n v="947213"/>
        <n v="5458093"/>
        <n v="776498"/>
        <n v="1246108"/>
        <n v="7125154"/>
        <n v="8290229"/>
        <n v="2376894"/>
        <n v="3348517"/>
        <n v="7041987"/>
        <n v="1001845"/>
        <n v="1830308"/>
        <n v="5782221"/>
        <n v="1378636"/>
        <n v="1314994"/>
        <n v="7484660"/>
        <n v="2500765"/>
        <n v="85874072"/>
        <n v="3435195"/>
        <n v="2275024"/>
        <n v="5767173"/>
        <n v="1544948"/>
        <n v="1570027"/>
        <n v="676022"/>
        <n v="5526557"/>
        <n v="3049062"/>
        <n v="1910183"/>
        <n v="9462643"/>
        <n v="7396153"/>
        <n v="7288890"/>
        <n v="659434"/>
        <n v="975194"/>
        <n v="3388815"/>
        <n v="887818"/>
        <n v="692261"/>
        <n v="12600769"/>
        <n v="675517"/>
        <n v="119505943"/>
        <n v="731615"/>
        <n v="3739727"/>
        <n v="1375295"/>
        <n v="2264871"/>
        <n v="8579819"/>
        <n v="608183"/>
        <n v="3244975"/>
        <n v="5739654"/>
        <n v="7805363"/>
        <n v="3564551"/>
        <n v="582994"/>
        <n v="8588130"/>
        <n v="5767336"/>
        <n v="788826"/>
        <n v="135379068"/>
        <n v="5282985"/>
        <n v="7268460"/>
        <n v="993161"/>
        <n v="650671"/>
        <n v="2747945"/>
        <n v="10161125"/>
        <n v="3705140"/>
        <n v="7347021"/>
        <n v="7808553"/>
        <n v="7278552"/>
        <n v="2988944"/>
        <n v="7161545"/>
        <n v="2413074"/>
        <n v="4576384"/>
        <n v="3246808"/>
        <n v="2192695"/>
        <n v="45336710"/>
        <n v="1616946"/>
        <n v="4062571"/>
        <n v="1400657"/>
        <n v="3743538"/>
        <n v="3123006"/>
        <n v="686886"/>
        <n v="30046366"/>
        <n v="15704596"/>
        <n v="5546064"/>
        <n v="185450623"/>
        <n v="1347444"/>
        <n v="4620726"/>
        <n v="6576664"/>
        <n v="2064686"/>
        <n v="10480391"/>
        <n v="1028762"/>
        <n v="2595382"/>
        <n v="5562868"/>
        <n v="4757172"/>
        <n v="1243908"/>
        <n v="10200626"/>
        <n v="2326066"/>
        <n v="2243923"/>
        <n v="7158110"/>
        <n v="8997995"/>
        <n v="1359166"/>
        <n v="641153"/>
      </sharedItems>
    </cacheField>
    <cacheField name="Tax_Rate" numFmtId="0">
      <sharedItems containsSemiMixedTypes="0" containsString="0" containsNumber="1" minValue="9.1000000000000004E-3" maxValue="2.0899999999999998E-2"/>
    </cacheField>
    <cacheField name="Calculated_Tax" numFmtId="0">
      <sharedItems containsSemiMixedTypes="0" containsString="0" containsNumber="1" minValue="5969.99" maxValue="2670488.9700000002"/>
    </cacheField>
    <cacheField name="Address" numFmtId="0">
      <sharedItems/>
    </cacheField>
    <cacheField name="Postal_Code" numFmtId="0">
      <sharedItems/>
    </cacheField>
    <cacheField name="Owner_Name" numFmtId="0">
      <sharedItems/>
    </cacheField>
    <cacheField name="Sale_Price" numFmtId="0">
      <sharedItems containsSemiMixedTypes="0" containsString="0" containsNumber="1" containsInteger="1" minValue="565853" maxValue="13086245"/>
    </cacheField>
    <cacheField name="Sale_Date" numFmtId="14">
      <sharedItems containsSemiMixedTypes="0" containsNonDate="0" containsDate="1" containsString="0" minDate="2019-01-16T00:00:00" maxDate="2027-12-28T00:00:00"/>
    </cacheField>
    <cacheField name="Expected_Municipality_Name" numFmtId="0">
      <sharedItems containsBlank="1"/>
    </cacheField>
    <cacheField name="Expected_Tax_Rate" numFmtId="0">
      <sharedItems containsString="0" containsBlank="1" containsNumber="1" minValue="9.1000000000000004E-3" maxValue="2.0899999999999998E-2"/>
    </cacheField>
    <cacheField name="Roll_Count" numFmtId="0">
      <sharedItems containsSemiMixedTypes="0" containsString="0" containsNumber="1" containsInteger="1" minValue="1" maxValue="2"/>
    </cacheField>
    <cacheField name="Property_Class_Description" numFmtId="0">
      <sharedItems containsBlank="1"/>
    </cacheField>
    <cacheField name="Municipality_Code_Check" numFmtId="0">
      <sharedItems/>
    </cacheField>
    <cacheField name="Municipality_Name_Check" numFmtId="0">
      <sharedItems/>
    </cacheField>
    <cacheField name="Tax_Check" numFmtId="0">
      <sharedItems/>
    </cacheField>
    <cacheField name="Duplicate_Check" numFmtId="0">
      <sharedItems/>
    </cacheField>
    <cacheField name="Postal_Code_Check" numFmtId="0">
      <sharedItems/>
    </cacheField>
    <cacheField name="Property_Class_Check" numFmtId="0">
      <sharedItems/>
    </cacheField>
    <cacheField name="Sale_Date_Check" numFmtId="0">
      <sharedItems/>
    </cacheField>
    <cacheField name="Completeness_Check" numFmtId="0">
      <sharedItems/>
    </cacheField>
    <cacheField name="Mean_Assessed_Value" numFmtId="0">
      <sharedItems containsSemiMixedTypes="0" containsString="0" containsNumber="1" minValue="4842179.1619999995" maxValue="4842179.1619999995"/>
    </cacheField>
    <cacheField name="StdDev_Assessed_Value" numFmtId="0">
      <sharedItems containsSemiMixedTypes="0" containsString="0" containsNumber="1" minValue="12553041.036323847" maxValue="12553041.036323847"/>
    </cacheField>
    <cacheField name="Outlier_Check" numFmtId="0">
      <sharedItems/>
    </cacheField>
    <cacheField name="Overall_Status" numFmtId="0">
      <sharedItems/>
    </cacheField>
    <cacheField name="Issue_Reason" numFmtId="0">
      <sharedItems count="9">
        <s v="Invalid Postal Code"/>
        <s v="Duplicate Roll Number"/>
        <s v="Invalid Sale Date"/>
        <s v="Municipality Name Mismatch"/>
        <s v="Tax Mismatch"/>
        <s v="Invalid Property Class, Tax Mismatch"/>
        <s v="Outlier Assessed Value"/>
        <s v="Invalid Municipality Code, Municipality Name Mismatch, Tax Mismatch"/>
        <s v="Tax Mismatch, Outlier Assessed Valu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2327-OTT-854-00001"/>
    <s v="OTT"/>
    <x v="0"/>
    <x v="0"/>
    <x v="0"/>
    <n v="599923"/>
    <n v="1.21E-2"/>
    <n v="7259.07"/>
    <s v="1689 Park Ave"/>
    <s v="Y1S 0A1"/>
    <s v="Ethan Patel"/>
    <n v="545503"/>
    <d v="2021-02-11T00:00:00"/>
    <s v="Ottawa"/>
    <n v="1.21E-2"/>
    <n v="1"/>
    <s v="Single-family and multi-unit homes"/>
    <s v="Valid"/>
    <s v="Match"/>
    <s v="Valid"/>
    <s v="Unique"/>
    <s v="Valid"/>
    <s v="Valid"/>
    <s v="Valid"/>
    <s v="Complete"/>
    <n v="4842179.1619999995"/>
    <n v="12553041.036323847"/>
    <s v="Normal"/>
    <x v="0"/>
  </r>
  <r>
    <s v="2226-OTT-457-00016"/>
    <s v="OTT"/>
    <x v="0"/>
    <x v="0"/>
    <x v="1"/>
    <n v="775433"/>
    <n v="1.21E-2"/>
    <n v="9382.74"/>
    <s v="1137 Maple Ave"/>
    <s v="H7Y 4X0"/>
    <s v="Ella Taylor"/>
    <n v="950770"/>
    <d v="2020-02-29T00:00:00"/>
    <s v="Ottawa"/>
    <n v="1.21E-2"/>
    <n v="1"/>
    <s v="Single-family and multi-unit homes"/>
    <s v="Valid"/>
    <s v="Match"/>
    <s v="Valid"/>
    <s v="Unique"/>
    <s v="Valid"/>
    <s v="Valid"/>
    <s v="Valid"/>
    <s v="Complete"/>
    <n v="4842179.1619999995"/>
    <n v="12553041.036323847"/>
    <s v="Normal"/>
    <x v="0"/>
  </r>
  <r>
    <s v="2230-OTT-652-00008"/>
    <s v="OTT"/>
    <x v="0"/>
    <x v="1"/>
    <x v="1"/>
    <n v="2728416"/>
    <n v="1.61E-2"/>
    <n v="49384.33"/>
    <s v="8699 Main St"/>
    <s v="V0E 5M3"/>
    <s v="David Brown"/>
    <n v="3154506"/>
    <d v="2019-10-11T00:00:00"/>
    <s v="Ottawa"/>
    <n v="1.8100000000000002E-2"/>
    <n v="1"/>
    <s v="Manufacturing and warehousing"/>
    <s v="Valid"/>
    <s v="Match"/>
    <s v="Valid"/>
    <s v="Unique"/>
    <s v="Valid"/>
    <s v="Valid"/>
    <s v="Valid"/>
    <s v="Complete"/>
    <n v="4842179.1619999995"/>
    <n v="12553041.036323847"/>
    <s v="Normal"/>
    <x v="0"/>
  </r>
  <r>
    <s v="2171-TOR-614-00014"/>
    <s v="TOR"/>
    <x v="1"/>
    <x v="1"/>
    <x v="2"/>
    <n v="1819106"/>
    <n v="1.8499999999999999E-2"/>
    <n v="33653.46"/>
    <s v="8711 Queen St, Apt 3"/>
    <s v="H1C 3R1"/>
    <s v="Patel Properties Inc."/>
    <n v="2005786"/>
    <d v="2019-06-12T00:00:00"/>
    <s v="Toronto"/>
    <n v="1.8499999999999999E-2"/>
    <n v="1"/>
    <s v="Manufacturing and warehousing"/>
    <s v="Valid"/>
    <s v="Match"/>
    <s v="Valid"/>
    <s v="Unique"/>
    <s v="Valid"/>
    <s v="Valid"/>
    <s v="Valid"/>
    <s v="Complete"/>
    <n v="4842179.1619999995"/>
    <n v="12553041.036323847"/>
    <s v="Normal"/>
    <x v="0"/>
  </r>
  <r>
    <s v="2158-TOR-180-00003"/>
    <s v="TOR"/>
    <x v="1"/>
    <x v="2"/>
    <x v="2"/>
    <n v="3857897"/>
    <n v="9.4999999999999998E-3"/>
    <n v="36650.019999999997"/>
    <s v="9054 Church St"/>
    <s v="P9J 1B3"/>
    <s v="David Jackson"/>
    <n v="3786436"/>
    <d v="2020-02-18T00:00:00"/>
    <s v="Toronto"/>
    <n v="9.4999999999999998E-3"/>
    <n v="1"/>
    <s v="Farms and rural properties"/>
    <s v="Valid"/>
    <s v="Match"/>
    <s v="Valid"/>
    <s v="Unique"/>
    <s v="Valid"/>
    <s v="Valid"/>
    <s v="Valid"/>
    <s v="Complete"/>
    <n v="4842179.1619999995"/>
    <n v="12553041.036323847"/>
    <s v="Normal"/>
    <x v="0"/>
  </r>
  <r>
    <s v="2245-OSH-928-00002"/>
    <s v="OSH"/>
    <x v="2"/>
    <x v="2"/>
    <x v="1"/>
    <n v="1593640"/>
    <n v="9.4000000000000004E-3"/>
    <n v="14980.22"/>
    <s v="116 Queen St"/>
    <s v="A1 1A1"/>
    <s v="Sarah Anderson"/>
    <n v="1906986"/>
    <d v="2021-12-19T00:00:00"/>
    <s v="Oshawa"/>
    <n v="9.4000000000000004E-3"/>
    <n v="1"/>
    <s v="Farms and rural properties"/>
    <s v="Valid"/>
    <s v="Match"/>
    <s v="Valid"/>
    <s v="Unique"/>
    <s v="Invalid"/>
    <s v="Valid"/>
    <s v="Valid"/>
    <s v="Complete"/>
    <n v="4842179.1619999995"/>
    <n v="12553041.036323847"/>
    <s v="Normal"/>
    <x v="1"/>
  </r>
  <r>
    <s v="2463-OSH-498-00029"/>
    <s v="OSH"/>
    <x v="2"/>
    <x v="2"/>
    <x v="3"/>
    <n v="635105"/>
    <n v="9.4000000000000004E-3"/>
    <n v="5969.99"/>
    <s v="9579 Main St"/>
    <s v="R7A 5M6"/>
    <s v="Jackson Investments Inc."/>
    <n v="691234"/>
    <d v="2025-02-13T00:00:00"/>
    <s v="Oshawa"/>
    <n v="9.4000000000000004E-3"/>
    <n v="2"/>
    <s v="Farms and rural properties"/>
    <s v="Valid"/>
    <s v="Match"/>
    <s v="Valid"/>
    <s v="Duplicate"/>
    <s v="Valid"/>
    <s v="Valid"/>
    <s v="Valid"/>
    <s v="Complete"/>
    <n v="4842179.1619999995"/>
    <n v="12553041.036323847"/>
    <s v="Normal"/>
    <x v="1"/>
  </r>
  <r>
    <s v="2463-OSH-498-00029"/>
    <s v="OSH"/>
    <x v="2"/>
    <x v="2"/>
    <x v="0"/>
    <n v="658934"/>
    <n v="9.4000000000000004E-3"/>
    <n v="6193.98"/>
    <s v="217 Wellington St"/>
    <s v="E6P 7G6"/>
    <s v="Ethan Nguyen"/>
    <n v="655329"/>
    <d v="2024-07-13T00:00:00"/>
    <s v="Oshawa"/>
    <n v="9.4000000000000004E-3"/>
    <n v="2"/>
    <s v="Farms and rural properties"/>
    <s v="Valid"/>
    <s v="Match"/>
    <s v="Valid"/>
    <s v="Duplicate"/>
    <s v="Valid"/>
    <s v="Valid"/>
    <s v="Valid"/>
    <s v="Complete"/>
    <n v="4842179.1619999995"/>
    <n v="12553041.036323847"/>
    <s v="Normal"/>
    <x v="1"/>
  </r>
  <r>
    <s v="2485-OSH-374-00035"/>
    <s v="OSH"/>
    <x v="2"/>
    <x v="2"/>
    <x v="3"/>
    <n v="1557887"/>
    <n v="9.4000000000000004E-3"/>
    <n v="14644.14"/>
    <s v="5290 Maple Ave"/>
    <s v="C4T 3T9"/>
    <s v="Sophia Anderson"/>
    <n v="1417747"/>
    <d v="2022-10-28T00:00:00"/>
    <s v="Oshawa"/>
    <n v="9.4000000000000004E-3"/>
    <n v="1"/>
    <s v="Farms and rural properties"/>
    <s v="Valid"/>
    <s v="Match"/>
    <s v="Valid"/>
    <s v="Unique"/>
    <s v="Valid"/>
    <s v="Valid"/>
    <s v="Valid"/>
    <s v="Complete"/>
    <n v="4842179.1619999995"/>
    <n v="12553041.036323847"/>
    <s v="Normal"/>
    <x v="0"/>
  </r>
  <r>
    <s v="2448-OSH-980-00041"/>
    <s v="OSH"/>
    <x v="2"/>
    <x v="2"/>
    <x v="3"/>
    <n v="3315442"/>
    <n v="9.4000000000000004E-3"/>
    <n v="31165.15"/>
    <s v="9652 Wellington St"/>
    <s v="B9E 3J4"/>
    <s v="Aisha Williams"/>
    <n v="3185592"/>
    <d v="2021-06-03T00:00:00"/>
    <s v="Oshawa"/>
    <n v="9.4000000000000004E-3"/>
    <n v="1"/>
    <s v="Farms and rural properties"/>
    <s v="Valid"/>
    <s v="Match"/>
    <s v="Valid"/>
    <s v="Unique"/>
    <s v="Valid"/>
    <s v="Valid"/>
    <s v="Valid"/>
    <s v="Complete"/>
    <n v="4842179.1619999995"/>
    <n v="12553041.036323847"/>
    <s v="Normal"/>
    <x v="0"/>
  </r>
  <r>
    <s v="2280-OSH-269-00009"/>
    <s v="OSH"/>
    <x v="2"/>
    <x v="3"/>
    <x v="1"/>
    <n v="3171103"/>
    <n v="2.0400000000000001E-2"/>
    <n v="64690.5"/>
    <s v=""/>
    <s v="S3Y 3M6"/>
    <s v="Nguyen Developments Inc."/>
    <n v="3340234"/>
    <d v="2024-10-20T00:00:00"/>
    <s v="Oshawa"/>
    <n v="2.0400000000000001E-2"/>
    <n v="1"/>
    <s v="Business properties and retail"/>
    <s v="Valid"/>
    <s v="Match"/>
    <s v="Valid"/>
    <s v="Unique"/>
    <s v="Valid"/>
    <s v="Valid"/>
    <s v="Valid"/>
    <s v="Complete"/>
    <n v="4842179.1619999995"/>
    <n v="12553041.036323847"/>
    <s v="Normal"/>
    <x v="0"/>
  </r>
  <r>
    <s v="2470-OSH-926-00011"/>
    <s v="OSH"/>
    <x v="2"/>
    <x v="3"/>
    <x v="3"/>
    <n v="1780253"/>
    <n v="2.0400000000000001E-2"/>
    <n v="36317.160000000003"/>
    <s v="6679 Maple Ave, Apt 14"/>
    <s v="P6S 7B1"/>
    <s v="Olivia White"/>
    <n v="2139126"/>
    <d v="2022-05-25T00:00:00"/>
    <s v="Oshawa"/>
    <n v="2.0400000000000001E-2"/>
    <n v="1"/>
    <s v="Business properties and retail"/>
    <s v="Valid"/>
    <s v="Match"/>
    <s v="Valid"/>
    <s v="Unique"/>
    <s v="Valid"/>
    <s v="Valid"/>
    <s v="Valid"/>
    <s v="Complete"/>
    <n v="4842179.1619999995"/>
    <n v="12553041.036323847"/>
    <s v="Normal"/>
    <x v="0"/>
  </r>
  <r>
    <s v="2395-OSH-438-00023"/>
    <s v="OSH"/>
    <x v="2"/>
    <x v="3"/>
    <x v="0"/>
    <n v="2342694"/>
    <n v="2.0400000000000001E-2"/>
    <n v="47790.96"/>
    <s v="5153 Park Ave"/>
    <s v="M8M 6N6"/>
    <s v="Ella Johnson"/>
    <n v="2265723"/>
    <d v="2023-09-23T00:00:00"/>
    <s v="Oshawa"/>
    <n v="2.0400000000000001E-2"/>
    <n v="1"/>
    <s v="Business properties and retail"/>
    <s v="Valid"/>
    <s v="Match"/>
    <s v="Valid"/>
    <s v="Unique"/>
    <s v="Valid"/>
    <s v="Valid"/>
    <s v="Valid"/>
    <s v="Complete"/>
    <n v="4842179.1619999995"/>
    <n v="12553041.036323847"/>
    <s v="Normal"/>
    <x v="0"/>
  </r>
  <r>
    <s v="2456-BRN-266-00004"/>
    <s v="BRN"/>
    <x v="3"/>
    <x v="1"/>
    <x v="3"/>
    <n v="5954495"/>
    <n v="1.8599999999999998E-2"/>
    <n v="110753.61"/>
    <s v="6075 Victoria Rd, Suite 23"/>
    <s v="C9H 8K2"/>
    <s v="James Clark"/>
    <n v="6692852"/>
    <d v="2024-02-15T00:00:00"/>
    <s v="Brampton"/>
    <n v="1.8599999999999998E-2"/>
    <n v="1"/>
    <s v="Manufacturing and warehousing"/>
    <s v="Valid"/>
    <s v="Match"/>
    <s v="Valid"/>
    <s v="Unique"/>
    <s v="Valid"/>
    <s v="Valid"/>
    <s v="Valid"/>
    <s v="Complete"/>
    <n v="4842179.1619999995"/>
    <n v="12553041.036323847"/>
    <s v="Normal"/>
    <x v="0"/>
  </r>
  <r>
    <s v="2114-LON-924-00005"/>
    <s v="LON"/>
    <x v="4"/>
    <x v="1"/>
    <x v="2"/>
    <n v="3205576"/>
    <n v="1.84E-2"/>
    <n v="58982.6"/>
    <s v="5178 Wellington St"/>
    <s v="J9N 3V6"/>
    <s v="Nguyen Investments Inc."/>
    <n v="3045313"/>
    <d v="2020-07-25T00:00:00"/>
    <s v="London"/>
    <n v="1.84E-2"/>
    <n v="1"/>
    <s v="Manufacturing and warehousing"/>
    <s v="Valid"/>
    <s v="Match"/>
    <s v="Valid"/>
    <s v="Unique"/>
    <s v="Valid"/>
    <s v="Valid"/>
    <s v="Valid"/>
    <s v="Complete"/>
    <n v="4842179.1619999995"/>
    <n v="12553041.036323847"/>
    <s v="Normal"/>
    <x v="0"/>
  </r>
  <r>
    <s v="2446-LON-340-00028"/>
    <s v="LON"/>
    <x v="4"/>
    <x v="1"/>
    <x v="3"/>
    <n v="2115456"/>
    <n v="1.84E-2"/>
    <n v="38924.39"/>
    <s v="4461 Victoria Rd"/>
    <s v="Y1G 2K6"/>
    <s v="Daniel Brown"/>
    <n v="2211083"/>
    <d v="2022-11-09T00:00:00"/>
    <s v="London"/>
    <n v="1.84E-2"/>
    <n v="1"/>
    <s v="Manufacturing and warehousing"/>
    <s v="Valid"/>
    <s v="Match"/>
    <s v="Valid"/>
    <s v="Unique"/>
    <s v="Valid"/>
    <s v="Valid"/>
    <s v="Valid"/>
    <s v="Complete"/>
    <n v="4842179.1619999995"/>
    <n v="12553041.036323847"/>
    <s v="Normal"/>
    <x v="0"/>
  </r>
  <r>
    <s v="2248-LON-114-00039"/>
    <s v="LON"/>
    <x v="4"/>
    <x v="1"/>
    <x v="1"/>
    <n v="3992728"/>
    <n v="1.84E-2"/>
    <n v="73466.2"/>
    <s v="8761 Queen St"/>
    <s v="B8M 2V1"/>
    <s v="Patel Developments Inc."/>
    <n v="4249416"/>
    <d v="2023-12-10T00:00:00"/>
    <s v="London"/>
    <n v="1.84E-2"/>
    <n v="1"/>
    <s v="Manufacturing and warehousing"/>
    <s v="Valid"/>
    <s v="Match"/>
    <s v="Valid"/>
    <s v="Unique"/>
    <s v="Valid"/>
    <s v="Valid"/>
    <s v="Valid"/>
    <s v="Complete"/>
    <n v="4842179.1619999995"/>
    <n v="12553041.036323847"/>
    <s v="Normal"/>
    <x v="0"/>
  </r>
  <r>
    <s v="2364-LON-697-00006"/>
    <s v="LON"/>
    <x v="4"/>
    <x v="4"/>
    <x v="0"/>
    <n v="10228390"/>
    <n v="1.47E-2"/>
    <n v="150357.32999999999"/>
    <s v="6553 Victoria Rd, Unit 17"/>
    <s v=""/>
    <s v="Thomas Group Inc."/>
    <n v="9432976"/>
    <d v="2022-02-20T00:00:00"/>
    <s v="London"/>
    <n v="1.47E-2"/>
    <n v="1"/>
    <s v="Apartment buildings and multi-tenant residential"/>
    <s v="Valid"/>
    <s v="Match"/>
    <s v="Valid"/>
    <s v="Unique"/>
    <s v="Invalid"/>
    <s v="Valid"/>
    <s v="Valid"/>
    <s v="Complete"/>
    <n v="4842179.1619999995"/>
    <n v="12553041.036323847"/>
    <s v="Normal"/>
    <x v="1"/>
  </r>
  <r>
    <s v="2311-GUE-796-00007"/>
    <s v="GUE"/>
    <x v="5"/>
    <x v="2"/>
    <x v="0"/>
    <n v="3834011"/>
    <n v="9.4999999999999998E-3"/>
    <n v="36423.1"/>
    <s v="1886 Park Ave"/>
    <s v="L5E 4S2"/>
    <s v="James Lee"/>
    <n v="4473090"/>
    <d v="2022-11-05T00:00:00"/>
    <s v="Guelph"/>
    <n v="9.4999999999999998E-3"/>
    <n v="1"/>
    <s v="Farms and rural properties"/>
    <s v="Valid"/>
    <s v="Match"/>
    <s v="Valid"/>
    <s v="Unique"/>
    <s v="Valid"/>
    <s v="Valid"/>
    <s v="Valid"/>
    <s v="Complete"/>
    <n v="4842179.1619999995"/>
    <n v="12553041.036323847"/>
    <s v="Normal"/>
    <x v="0"/>
  </r>
  <r>
    <s v="2183-OTT-793-00033"/>
    <s v="OTT"/>
    <x v="0"/>
    <x v="4"/>
    <x v="2"/>
    <n v="13879627"/>
    <n v="1.6899999999999998E-2"/>
    <n v="199866.63"/>
    <s v="6159 Wellington St"/>
    <s v="J1K 1M9"/>
    <s v="White Group Inc."/>
    <n v="16293605"/>
    <d v="2022-11-23T00:00:00"/>
    <s v="Ottawa"/>
    <n v="1.44E-2"/>
    <n v="1"/>
    <s v="Apartment buildings and multi-tenant residential"/>
    <s v="Valid"/>
    <s v="Match"/>
    <s v="Valid"/>
    <s v="Unique"/>
    <s v="Valid"/>
    <s v="Valid"/>
    <s v="Valid"/>
    <s v="Complete"/>
    <n v="4842179.1619999995"/>
    <n v="12553041.036323847"/>
    <s v="Normal"/>
    <x v="0"/>
  </r>
  <r>
    <s v="2253-MSS-121-00010"/>
    <s v="MSS"/>
    <x v="6"/>
    <x v="0"/>
    <x v="1"/>
    <n v="585185"/>
    <n v="1.29E-2"/>
    <n v="7548.89"/>
    <s v="9648 Elm St, Unit 1"/>
    <s v="C0K 1B5"/>
    <s v="Grace Taylor"/>
    <n v="663683"/>
    <d v="2021-05-27T00:00:00"/>
    <s v="Mississauga"/>
    <n v="1.29E-2"/>
    <n v="1"/>
    <s v="Single-family and multi-unit homes"/>
    <s v="Valid"/>
    <s v="Match"/>
    <s v="Valid"/>
    <s v="Unique"/>
    <s v="Valid"/>
    <s v="Valid"/>
    <s v="Valid"/>
    <s v="Complete"/>
    <n v="4842179.1619999995"/>
    <n v="12553041.036323847"/>
    <s v="Normal"/>
    <x v="0"/>
  </r>
  <r>
    <s v="2452-MSS-428-00045"/>
    <s v="MSS"/>
    <x v="6"/>
    <x v="0"/>
    <x v="3"/>
    <n v="667659"/>
    <n v="1.29E-2"/>
    <n v="8612.7999999999993"/>
    <s v="1723 Queen St"/>
    <s v="V4R 8B7"/>
    <s v="James Anderson"/>
    <n v="627982"/>
    <d v="2023-04-08T00:00:00"/>
    <s v="Mississauga"/>
    <n v="1.29E-2"/>
    <n v="1"/>
    <s v="Single-family and multi-unit homes"/>
    <s v="Valid"/>
    <s v="Match"/>
    <s v="Valid"/>
    <s v="Unique"/>
    <s v="Valid"/>
    <s v="Valid"/>
    <s v="Valid"/>
    <s v="Complete"/>
    <n v="4842179.1619999995"/>
    <n v="12553041.036323847"/>
    <s v="Normal"/>
    <x v="0"/>
  </r>
  <r>
    <s v="2486-HAM-581-00042"/>
    <s v="HAM"/>
    <x v="7"/>
    <x v="0"/>
    <x v="3"/>
    <n v="735906"/>
    <n v="1.2800000000000001E-2"/>
    <n v="9419.6"/>
    <s v="4781 Main St, Apt 10"/>
    <s v="T1K 4J6"/>
    <s v=""/>
    <n v="700690"/>
    <d v="2022-06-29T00:00:00"/>
    <s v="Hamilton"/>
    <n v="1.2800000000000001E-2"/>
    <n v="1"/>
    <s v="Single-family and multi-unit homes"/>
    <s v="Valid"/>
    <s v="Match"/>
    <s v="Valid"/>
    <s v="Unique"/>
    <s v="Valid"/>
    <s v="Valid"/>
    <s v="Valid"/>
    <s v="Complete"/>
    <n v="4842179.1619999995"/>
    <n v="12553041.036323847"/>
    <s v="Normal"/>
    <x v="0"/>
  </r>
  <r>
    <s v="2149-HAM-709-00043"/>
    <s v="HAM"/>
    <x v="7"/>
    <x v="0"/>
    <x v="2"/>
    <n v="538030"/>
    <n v="1.2800000000000001E-2"/>
    <n v="6886.78"/>
    <s v="9335 Church St"/>
    <s v="T4R 4X8"/>
    <s v="David Patel"/>
    <n v="491733"/>
    <d v="2023-11-05T00:00:00"/>
    <s v="Hamilton"/>
    <n v="1.2800000000000001E-2"/>
    <n v="1"/>
    <s v="Single-family and multi-unit homes"/>
    <s v="Valid"/>
    <s v="Match"/>
    <s v="Valid"/>
    <s v="Unique"/>
    <s v="Valid"/>
    <s v="Valid"/>
    <s v="Valid"/>
    <s v="Complete"/>
    <n v="4842179.1619999995"/>
    <n v="12553041.036323847"/>
    <s v="Normal"/>
    <x v="0"/>
  </r>
  <r>
    <s v="2433-LON-385-00012"/>
    <s v="LON"/>
    <x v="4"/>
    <x v="3"/>
    <x v="3"/>
    <n v="1448346"/>
    <n v="2.0400000000000001E-2"/>
    <n v="29546.26"/>
    <s v="7589 Maple Ave"/>
    <s v="C7Y 1B8"/>
    <s v="Brown Properties Inc."/>
    <n v="1387818"/>
    <d v="2023-09-22T00:00:00"/>
    <s v="London"/>
    <n v="2.0400000000000001E-2"/>
    <n v="1"/>
    <s v="Business properties and retail"/>
    <s v="Valid"/>
    <s v="Match"/>
    <s v="Valid"/>
    <s v="Unique"/>
    <s v="Valid"/>
    <s v="Valid"/>
    <s v="Valid"/>
    <s v="Complete"/>
    <n v="4842179.1619999995"/>
    <n v="12553041.036323847"/>
    <s v="Normal"/>
    <x v="0"/>
  </r>
  <r>
    <s v="2452-HAM-901-00020"/>
    <s v="HAM"/>
    <x v="7"/>
    <x v="3"/>
    <x v="3"/>
    <n v="840823"/>
    <n v="2.0799999999999999E-2"/>
    <n v="17489.12"/>
    <s v="6755 Park Ave"/>
    <s v="K4H 1R0"/>
    <s v="Williams Properties Inc."/>
    <n v="997052"/>
    <d v="2023-08-01T00:00:00"/>
    <s v="Hamilton"/>
    <n v="2.0799999999999999E-2"/>
    <n v="1"/>
    <s v="Business properties and retail"/>
    <s v="Valid"/>
    <s v="Match"/>
    <s v="Valid"/>
    <s v="Unique"/>
    <s v="Valid"/>
    <s v="Valid"/>
    <s v="Valid"/>
    <s v="Complete"/>
    <n v="4842179.1619999995"/>
    <n v="12553041.036323847"/>
    <s v="Normal"/>
    <x v="0"/>
  </r>
  <r>
    <s v="2431-MSS-488-00013"/>
    <s v="MSS"/>
    <x v="6"/>
    <x v="3"/>
    <x v="3"/>
    <n v="4485225"/>
    <n v="2.0899999999999998E-2"/>
    <n v="93741.2"/>
    <s v="45 Wellington St"/>
    <s v="T4S 8V2"/>
    <s v="Daniel Smith"/>
    <n v="4945916"/>
    <d v="2027-07-06T00:00:00"/>
    <s v="Mississauga"/>
    <n v="2.0899999999999998E-2"/>
    <n v="1"/>
    <s v="Business properties and retail"/>
    <s v="Valid"/>
    <s v="Match"/>
    <s v="Valid"/>
    <s v="Unique"/>
    <s v="Valid"/>
    <s v="Valid"/>
    <s v="Invalid"/>
    <s v="Complete"/>
    <n v="4842179.1619999995"/>
    <n v="12553041.036323847"/>
    <s v="Normal"/>
    <x v="1"/>
  </r>
  <r>
    <s v="2180-HAM-259-00017"/>
    <s v="HAM"/>
    <x v="7"/>
    <x v="1"/>
    <x v="2"/>
    <n v="8673738"/>
    <n v="1.8800000000000001E-2"/>
    <n v="163066.26999999999"/>
    <s v="4472 Church St"/>
    <s v="N3L 8V4"/>
    <s v="Jackson Holdings Inc."/>
    <n v="8086565"/>
    <d v="2023-10-01T00:00:00"/>
    <s v="Hamilton"/>
    <n v="1.8800000000000001E-2"/>
    <n v="1"/>
    <s v="Manufacturing and warehousing"/>
    <s v="Valid"/>
    <s v="Match"/>
    <s v="Valid"/>
    <s v="Unique"/>
    <s v="Valid"/>
    <s v="Valid"/>
    <s v="Valid"/>
    <s v="Complete"/>
    <n v="4842179.1619999995"/>
    <n v="12553041.036323847"/>
    <s v="Normal"/>
    <x v="0"/>
  </r>
  <r>
    <s v="2123-OSH-609-00199"/>
    <s v="HAM"/>
    <x v="7"/>
    <x v="2"/>
    <x v="1"/>
    <n v="1354463"/>
    <n v="9.7999999999999997E-3"/>
    <n v="13273.74"/>
    <s v="4591 Cedar Ave"/>
    <s v="L8A 8J1"/>
    <s v="Liam Martin"/>
    <n v="1482205"/>
    <d v="2021-09-11T00:00:00"/>
    <s v="Hamilton"/>
    <n v="9.7999999999999997E-3"/>
    <n v="2"/>
    <s v="Farms and rural properties"/>
    <s v="Valid"/>
    <s v="Match"/>
    <s v="Valid"/>
    <s v="Duplicate"/>
    <s v="Valid"/>
    <s v="Valid"/>
    <s v="Valid"/>
    <s v="Complete"/>
    <n v="4842179.1619999995"/>
    <n v="12553041.036323847"/>
    <s v="Normal"/>
    <x v="1"/>
  </r>
  <r>
    <s v="2123-OSH-609-00199"/>
    <s v="OSH"/>
    <x v="2"/>
    <x v="4"/>
    <x v="2"/>
    <n v="4913878"/>
    <n v="1.47E-2"/>
    <n v="72234.009999999995"/>
    <s v="3264 Cedar Ave, Suite 27"/>
    <s v="X3P 6M2"/>
    <s v="Chloe Clark"/>
    <n v="4779694"/>
    <d v="2024-05-22T00:00:00"/>
    <s v="Oshawa"/>
    <n v="1.47E-2"/>
    <n v="2"/>
    <s v="Apartment buildings and multi-tenant residential"/>
    <s v="Valid"/>
    <s v="Match"/>
    <s v="Valid"/>
    <s v="Duplicate"/>
    <s v="Valid"/>
    <s v="Valid"/>
    <s v="Valid"/>
    <s v="Complete"/>
    <n v="4842179.1619999995"/>
    <n v="12553041.036323847"/>
    <s v="Normal"/>
    <x v="1"/>
  </r>
  <r>
    <s v="2275-HAM-864-00048"/>
    <s v="HAM"/>
    <x v="7"/>
    <x v="2"/>
    <x v="1"/>
    <n v="3405363"/>
    <n v="9.7999999999999997E-3"/>
    <n v="33372.559999999998"/>
    <s v="2246 King St"/>
    <s v="S5X 4A4"/>
    <s v="Chloe Jackson"/>
    <n v="3241934"/>
    <d v="2025-01-15T00:00:00"/>
    <s v="Hamilton"/>
    <n v="9.7999999999999997E-3"/>
    <n v="1"/>
    <s v="Farms and rural properties"/>
    <s v="Valid"/>
    <s v="Match"/>
    <s v="Valid"/>
    <s v="Unique"/>
    <s v="Valid"/>
    <s v="Valid"/>
    <s v="Valid"/>
    <s v="Complete"/>
    <n v="4842179.1619999995"/>
    <n v="12553041.036323847"/>
    <s v="Normal"/>
    <x v="0"/>
  </r>
  <r>
    <s v="2482-GUE-635-00015"/>
    <s v="GUE"/>
    <x v="5"/>
    <x v="0"/>
    <x v="3"/>
    <n v="896642"/>
    <n v="1.2500000000000001E-2"/>
    <n v="11208.03"/>
    <s v="5193 Church St, Apt 11"/>
    <s v="K4R 2M7"/>
    <s v="David Smith"/>
    <n v="950799"/>
    <d v="2024-02-28T00:00:00"/>
    <s v="Guelph"/>
    <n v="1.2500000000000001E-2"/>
    <n v="1"/>
    <s v="Single-family and multi-unit homes"/>
    <s v="Valid"/>
    <s v="Match"/>
    <s v="Valid"/>
    <s v="Unique"/>
    <s v="Valid"/>
    <s v="Valid"/>
    <s v="Valid"/>
    <s v="Complete"/>
    <n v="4842179.1619999995"/>
    <n v="12553041.036323847"/>
    <s v="Normal"/>
    <x v="0"/>
  </r>
  <r>
    <s v="2386-HAM-544-00022"/>
    <s v="HAM"/>
    <x v="7"/>
    <x v="4"/>
    <x v="0"/>
    <n v="2221996"/>
    <n v="1.5100000000000001E-2"/>
    <n v="33552.14"/>
    <s v="5673 Victoria Rd"/>
    <s v="X1R 9J4"/>
    <s v="Liam Smith"/>
    <n v="2404138"/>
    <d v="2024-07-09T00:00:00"/>
    <s v="Hamilton"/>
    <n v="1.5100000000000001E-2"/>
    <n v="1"/>
    <s v="Apartment buildings and multi-tenant residential"/>
    <s v="Valid"/>
    <s v="Match"/>
    <s v="Valid"/>
    <s v="Unique"/>
    <s v="Valid"/>
    <s v="Valid"/>
    <s v="Valid"/>
    <s v="Complete"/>
    <n v="4842179.1619999995"/>
    <n v="12553041.036323847"/>
    <s v="Normal"/>
    <x v="0"/>
  </r>
  <r>
    <s v="2141-LON-304-00032"/>
    <s v="LON"/>
    <x v="4"/>
    <x v="0"/>
    <x v="2"/>
    <n v="988994"/>
    <n v="1.24E-2"/>
    <n v="12263.53"/>
    <s v="343 Cedar Ave, Unit 16"/>
    <s v="E9J 7L5"/>
    <s v="Sarah White"/>
    <n v="1173694"/>
    <d v="2022-06-28T00:00:00"/>
    <s v="London"/>
    <n v="1.24E-2"/>
    <n v="1"/>
    <s v="Single-family and multi-unit homes"/>
    <s v="Valid"/>
    <s v="Match"/>
    <s v="Valid"/>
    <s v="Unique"/>
    <s v="Valid"/>
    <s v="Valid"/>
    <s v="Valid"/>
    <s v="Complete"/>
    <n v="4842179.1619999995"/>
    <n v="12553041.036323847"/>
    <s v="Normal"/>
    <x v="0"/>
  </r>
  <r>
    <s v="2126-WDR-752-00018"/>
    <s v="WDR"/>
    <x v="8"/>
    <x v="0"/>
    <x v="2"/>
    <n v="658515"/>
    <n v="1.2699999999999999E-2"/>
    <n v="8363.14"/>
    <s v="4301 Queen St"/>
    <s v="Y6Y 0E1"/>
    <s v="Wilson Properties Inc."/>
    <n v="718411"/>
    <d v="2027-05-19T00:00:00"/>
    <s v="Windsor"/>
    <n v="1.2699999999999999E-2"/>
    <n v="1"/>
    <s v="Single-family and multi-unit homes"/>
    <s v="Valid"/>
    <s v="Match"/>
    <s v="Valid"/>
    <s v="Unique"/>
    <s v="Valid"/>
    <s v="Valid"/>
    <s v="Invalid"/>
    <s v="Complete"/>
    <n v="4842179.1619999995"/>
    <n v="12553041.036323847"/>
    <s v="Normal"/>
    <x v="1"/>
  </r>
  <r>
    <s v="2215-GUE-415-00019"/>
    <s v="GUE"/>
    <x v="9"/>
    <x v="4"/>
    <x v="1"/>
    <n v="6332407"/>
    <n v="1.4800000000000001E-2"/>
    <n v="93719.62"/>
    <s v="5984 Main St"/>
    <s v="J3E 5Y6"/>
    <s v="Wilson Properties Inc."/>
    <n v="7750976"/>
    <d v="2021-08-27T00:00:00"/>
    <s v="Guelph"/>
    <n v="1.4800000000000001E-2"/>
    <n v="1"/>
    <s v="Apartment buildings and multi-tenant residential"/>
    <s v="Valid"/>
    <s v="Mismatch"/>
    <s v="Valid"/>
    <s v="Unique"/>
    <s v="Valid"/>
    <s v="Valid"/>
    <s v="Valid"/>
    <s v="Complete"/>
    <n v="4842179.1619999995"/>
    <n v="12553041.036323847"/>
    <s v="Normal"/>
    <x v="1"/>
  </r>
  <r>
    <s v="2294-KIN-297-00021"/>
    <s v="KIN"/>
    <x v="10"/>
    <x v="1"/>
    <x v="1"/>
    <n v="3170497"/>
    <n v="1.83E-2"/>
    <n v="58020.1"/>
    <s v="6538 Victoria Rd"/>
    <s v="C4P 8R8"/>
    <s v="John Brown"/>
    <n v="3826674"/>
    <d v="2021-12-05T00:00:00"/>
    <s v="Kingston"/>
    <n v="1.83E-2"/>
    <n v="1"/>
    <s v="Manufacturing and warehousing"/>
    <s v="Valid"/>
    <s v="Match"/>
    <s v="Valid"/>
    <s v="Unique"/>
    <s v="Valid"/>
    <s v="Valid"/>
    <s v="Valid"/>
    <s v="Complete"/>
    <n v="4842179.1619999995"/>
    <n v="12553041.036323847"/>
    <s v="Normal"/>
    <x v="0"/>
  </r>
  <r>
    <s v="2334-WDR-423-00038"/>
    <s v="WDR"/>
    <x v="8"/>
    <x v="1"/>
    <x v="0"/>
    <n v="3214078"/>
    <n v="1.8700000000000001E-2"/>
    <n v="60103.26"/>
    <s v="1968 Elm St"/>
    <s v="H3J 7L9"/>
    <s v="Lee Group Inc."/>
    <n v="3211023"/>
    <d v="2020-07-24T00:00:00"/>
    <s v="Windsor"/>
    <n v="1.8700000000000001E-2"/>
    <n v="1"/>
    <s v="Manufacturing and warehousing"/>
    <s v="Valid"/>
    <s v="Match"/>
    <s v="Valid"/>
    <s v="Unique"/>
    <s v="Valid"/>
    <s v="Valid"/>
    <s v="Valid"/>
    <s v="Complete"/>
    <n v="4842179.1619999995"/>
    <n v="12553041.036323847"/>
    <s v="Normal"/>
    <x v="0"/>
  </r>
  <r>
    <s v="2310-BRN-411-00024"/>
    <s v="BRN"/>
    <x v="3"/>
    <x v="3"/>
    <x v="0"/>
    <n v="19873169"/>
    <n v="2.06E-2"/>
    <n v="46606.92"/>
    <s v="4710 Maple Ave"/>
    <s v="N7T 7J8"/>
    <s v="Aisha Nguyen"/>
    <n v="2103371"/>
    <d v="2022-11-21T00:00:00"/>
    <s v="Brampton"/>
    <n v="2.06E-2"/>
    <n v="1"/>
    <s v="Business properties and retail"/>
    <s v="Valid"/>
    <s v="Match"/>
    <s v="Mismatch"/>
    <s v="Unique"/>
    <s v="Valid"/>
    <s v="Valid"/>
    <s v="Valid"/>
    <s v="Complete"/>
    <n v="4842179.1619999995"/>
    <n v="12553041.036323847"/>
    <s v="Normal"/>
    <x v="1"/>
  </r>
  <r>
    <s v="2443-BRN-488-00031"/>
    <s v="BRN"/>
    <x v="3"/>
    <x v="3"/>
    <x v="3"/>
    <n v="1593631"/>
    <n v="2.06E-2"/>
    <n v="32828.800000000003"/>
    <s v="5373 Maple Ave"/>
    <s v="N6L 6L1"/>
    <s v="Ella Smith"/>
    <n v="1991987"/>
    <d v="2022-12-18T00:00:00"/>
    <s v="Brampton"/>
    <n v="2.06E-2"/>
    <n v="1"/>
    <s v="Business properties and retail"/>
    <s v="Valid"/>
    <s v="Match"/>
    <s v="Valid"/>
    <s v="Unique"/>
    <s v="Valid"/>
    <s v="Valid"/>
    <s v="Valid"/>
    <s v="Complete"/>
    <n v="4842179.1619999995"/>
    <n v="12553041.036323847"/>
    <s v="Normal"/>
    <x v="0"/>
  </r>
  <r>
    <s v="2426-BRN-614-00050"/>
    <s v="BRN"/>
    <x v="3"/>
    <x v="3"/>
    <x v="3"/>
    <n v="5090424"/>
    <n v="2.06E-2"/>
    <n v="104862.73"/>
    <s v="9679 Victoria Rd"/>
    <s v="T1X 7A2"/>
    <s v="Michael Brown"/>
    <n v="5417849"/>
    <d v="2022-06-27T00:00:00"/>
    <s v="Brampton"/>
    <n v="2.06E-2"/>
    <n v="1"/>
    <s v="Business properties and retail"/>
    <s v="Valid"/>
    <s v="Match"/>
    <s v="Valid"/>
    <s v="Unique"/>
    <s v="Valid"/>
    <s v="Valid"/>
    <s v="Valid"/>
    <s v="Complete"/>
    <n v="4842179.1619999995"/>
    <n v="12553041.036323847"/>
    <s v="Normal"/>
    <x v="0"/>
  </r>
  <r>
    <s v="2140-GUE-788-00025"/>
    <s v="GUE"/>
    <x v="5"/>
    <x v="1"/>
    <x v="2"/>
    <n v="7732008"/>
    <n v="1.8499999999999999E-2"/>
    <n v="143042.15"/>
    <s v="5095 Maple Ave"/>
    <s v="G0B 3V9"/>
    <s v="Brown Investments Inc."/>
    <n v="8080369"/>
    <d v="2021-03-07T00:00:00"/>
    <s v="Guelph"/>
    <n v="1.8499999999999999E-2"/>
    <n v="1"/>
    <s v="Manufacturing and warehousing"/>
    <s v="Valid"/>
    <s v="Match"/>
    <s v="Valid"/>
    <s v="Unique"/>
    <s v="Valid"/>
    <s v="Valid"/>
    <s v="Valid"/>
    <s v="Complete"/>
    <n v="4842179.1619999995"/>
    <n v="12553041.036323847"/>
    <s v="Normal"/>
    <x v="0"/>
  </r>
  <r>
    <s v="2493-BRN-804-00026"/>
    <s v="BRN"/>
    <x v="3"/>
    <x v="2"/>
    <x v="3"/>
    <n v="1094966"/>
    <n v="9.5999999999999992E-3"/>
    <n v="10411.67"/>
    <s v="100 King St"/>
    <s v="K2X 7B8"/>
    <s v="Sarah Martin"/>
    <n v="1036570"/>
    <d v="2023-08-10T00:00:00"/>
    <s v="Brampton"/>
    <n v="9.5999999999999992E-3"/>
    <n v="1"/>
    <s v="Farms and rural properties"/>
    <s v="Valid"/>
    <s v="Match"/>
    <s v="Mismatch"/>
    <s v="Unique"/>
    <s v="Valid"/>
    <s v="Valid"/>
    <s v="Valid"/>
    <s v="Complete"/>
    <n v="4842179.1619999995"/>
    <n v="12553041.036323847"/>
    <s v="Normal"/>
    <x v="1"/>
  </r>
  <r>
    <s v="2366-OSH-727-00027"/>
    <s v="OSH"/>
    <x v="2"/>
    <x v="4"/>
    <x v="0"/>
    <n v="14546372"/>
    <n v="1.47E-2"/>
    <n v="213831.67"/>
    <s v="8280 Wellington St"/>
    <s v="Y7H 7T4"/>
    <s v="James White"/>
    <n v="17051056"/>
    <d v="2022-09-19T00:00:00"/>
    <s v="Oshawa"/>
    <n v="1.47E-2"/>
    <n v="1"/>
    <s v="Apartment buildings and multi-tenant residential"/>
    <s v="Valid"/>
    <s v="Match"/>
    <s v="Valid"/>
    <s v="Unique"/>
    <s v="Valid"/>
    <s v="Valid"/>
    <s v="Valid"/>
    <s v="Complete"/>
    <n v="4842179.1619999995"/>
    <n v="12553041.036323847"/>
    <s v="Normal"/>
    <x v="0"/>
  </r>
  <r>
    <s v="2244-OSH-546-00030"/>
    <s v="OSH"/>
    <x v="2"/>
    <x v="4"/>
    <x v="1"/>
    <n v="6946489"/>
    <n v="1.47E-2"/>
    <n v="102113.39"/>
    <s v="7966 Main St"/>
    <s v="R2T 2Y0"/>
    <s v="Patel Group Inc."/>
    <n v="7863772"/>
    <d v="2019-12-10T00:00:00"/>
    <s v="Oshawa"/>
    <n v="1.47E-2"/>
    <n v="1"/>
    <s v="Apartment buildings and multi-tenant residential"/>
    <s v="Valid"/>
    <s v="Match"/>
    <s v="Valid"/>
    <s v="Unique"/>
    <s v="Valid"/>
    <s v="Valid"/>
    <s v="Valid"/>
    <s v="Complete"/>
    <n v="4842179.1619999995"/>
    <n v="12553041.036323847"/>
    <s v="Normal"/>
    <x v="0"/>
  </r>
  <r>
    <s v="2171-KIN-216-00040"/>
    <s v="KIN"/>
    <x v="9"/>
    <x v="3"/>
    <x v="2"/>
    <n v="1806945"/>
    <n v="2.0299999999999999E-2"/>
    <n v="36680.980000000003"/>
    <s v="1080 Wellington St"/>
    <s v="B2G 9M1"/>
    <s v="Brown Group Inc."/>
    <n v="2109708"/>
    <d v="2021-07-13T00:00:00"/>
    <s v="Kingston"/>
    <n v="2.0299999999999999E-2"/>
    <n v="1"/>
    <s v="Business properties and retail"/>
    <s v="Valid"/>
    <s v="Mismatch"/>
    <s v="Valid"/>
    <s v="Unique"/>
    <s v="Valid"/>
    <s v="Valid"/>
    <s v="Valid"/>
    <s v="Complete"/>
    <n v="4842179.1619999995"/>
    <n v="12553041.036323847"/>
    <s v="Normal"/>
    <x v="1"/>
  </r>
  <r>
    <s v="2339-KIN-790-00044"/>
    <s v="KIN"/>
    <x v="10"/>
    <x v="4"/>
    <x v="0"/>
    <n v="1951447"/>
    <n v="1.46E-2"/>
    <n v="28491.13"/>
    <s v="9434 Cedar Ave"/>
    <s v="L9B 2V8"/>
    <s v="James Johnson"/>
    <n v="2437222"/>
    <d v="2022-06-11T00:00:00"/>
    <s v="Kingston"/>
    <n v="1.46E-2"/>
    <n v="1"/>
    <s v="Apartment buildings and multi-tenant residential"/>
    <s v="Valid"/>
    <s v="Match"/>
    <s v="Valid"/>
    <s v="Unique"/>
    <s v="Valid"/>
    <s v="Valid"/>
    <s v="Valid"/>
    <s v="Complete"/>
    <n v="4842179.1619999995"/>
    <n v="12553041.036323847"/>
    <s v="Normal"/>
    <x v="0"/>
  </r>
  <r>
    <s v="2452-KIN-972-00051"/>
    <s v="KIN"/>
    <x v="10"/>
    <x v="4"/>
    <x v="3"/>
    <n v="8856806"/>
    <n v="1.46E-2"/>
    <n v="129309.37"/>
    <s v="8752 Wellington St"/>
    <s v="V8B 9C3"/>
    <s v="Fatima Williams"/>
    <n v="10286013"/>
    <d v="2023-06-08T00:00:00"/>
    <s v="Kingston"/>
    <n v="1.46E-2"/>
    <n v="1"/>
    <s v="Apartment buildings and multi-tenant residential"/>
    <s v="Valid"/>
    <s v="Match"/>
    <s v="Valid"/>
    <s v="Unique"/>
    <s v="Valid"/>
    <s v="Valid"/>
    <s v="Valid"/>
    <s v="Complete"/>
    <n v="4842179.1619999995"/>
    <n v="12553041.036323847"/>
    <s v="Normal"/>
    <x v="0"/>
  </r>
  <r>
    <s v="2421-MSS-401-00037"/>
    <s v="MSS"/>
    <x v="6"/>
    <x v="2"/>
    <x v="3"/>
    <n v="2717984"/>
    <n v="9.9000000000000008E-3"/>
    <n v="26908.04"/>
    <s v="3640 Wellington St"/>
    <s v="M9P 7Y8"/>
    <s v="Ella Anderson"/>
    <n v="2780861"/>
    <d v="2023-07-19T00:00:00"/>
    <s v="Mississauga"/>
    <n v="9.9000000000000008E-3"/>
    <n v="2"/>
    <s v="Farms and rural properties"/>
    <s v="Valid"/>
    <s v="Match"/>
    <s v="Valid"/>
    <s v="Duplicate"/>
    <s v="Valid"/>
    <s v="Valid"/>
    <s v="Valid"/>
    <s v="Complete"/>
    <n v="4842179.1619999995"/>
    <n v="12553041.036323847"/>
    <s v="Normal"/>
    <x v="1"/>
  </r>
  <r>
    <s v="2421-MSS-401-00037"/>
    <s v="KIN"/>
    <x v="10"/>
    <x v="3"/>
    <x v="2"/>
    <n v="1996935"/>
    <n v="2.0299999999999999E-2"/>
    <n v="40537.78"/>
    <s v="5503 Queen St, Suite 30"/>
    <s v="V2V 7A1"/>
    <s v="Daniel Jackson"/>
    <n v="1901745"/>
    <d v="2024-12-01T00:00:00"/>
    <s v="Kingston"/>
    <n v="2.0299999999999999E-2"/>
    <n v="2"/>
    <s v="Business properties and retail"/>
    <s v="Valid"/>
    <s v="Match"/>
    <s v="Valid"/>
    <s v="Duplicate"/>
    <s v="Valid"/>
    <s v="Valid"/>
    <s v="Valid"/>
    <s v="Complete"/>
    <n v="4842179.1619999995"/>
    <n v="12553041.036323847"/>
    <s v="Normal"/>
    <x v="1"/>
  </r>
  <r>
    <s v="2379-MSS-486-00049"/>
    <s v="MSS"/>
    <x v="6"/>
    <x v="1"/>
    <x v="0"/>
    <n v="5295401"/>
    <n v="1.89E-2"/>
    <n v="100083.08"/>
    <s v="7470 Victoria Rd"/>
    <s v="K9R 3S0"/>
    <s v="Chloe Wilson"/>
    <n v="6458804"/>
    <d v="2022-02-19T00:00:00"/>
    <s v="Mississauga"/>
    <n v="1.89E-2"/>
    <n v="1"/>
    <s v="Manufacturing and warehousing"/>
    <s v="Valid"/>
    <s v="Match"/>
    <s v="Valid"/>
    <s v="Unique"/>
    <s v="Valid"/>
    <s v="Valid"/>
    <s v="Valid"/>
    <s v="Complete"/>
    <n v="4842179.1619999995"/>
    <n v="12553041.036323847"/>
    <s v="Normal"/>
    <x v="0"/>
  </r>
  <r>
    <s v="2434-OSH-630-00046"/>
    <s v="OSH"/>
    <x v="2"/>
    <x v="0"/>
    <x v="3"/>
    <n v="710428"/>
    <n v="1.24E-2"/>
    <n v="8809.31"/>
    <s v="5937 Cedar Ave"/>
    <s v="T0J 4Y2"/>
    <s v="Martin Investments Inc."/>
    <n v="669578"/>
    <d v="2024-07-14T00:00:00"/>
    <s v="Oshawa"/>
    <n v="1.24E-2"/>
    <n v="1"/>
    <s v="Single-family and multi-unit homes"/>
    <s v="Valid"/>
    <s v="Match"/>
    <s v="Valid"/>
    <s v="Unique"/>
    <s v="Valid"/>
    <s v="Valid"/>
    <s v="Valid"/>
    <s v="Complete"/>
    <n v="4842179.1619999995"/>
    <n v="12553041.036323847"/>
    <s v="Normal"/>
    <x v="0"/>
  </r>
  <r>
    <s v="2211-GUE-665-00047"/>
    <s v="GUE"/>
    <x v="5"/>
    <x v="3"/>
    <x v="1"/>
    <n v="1973692"/>
    <n v="2.0500000000000001E-2"/>
    <n v="40460.69"/>
    <s v="6694 King St, Unit 15"/>
    <s v="E2V 4X4"/>
    <s v="Chloe Martin"/>
    <n v="1944690"/>
    <d v="2025-03-07T00:00:00"/>
    <s v="Guelph"/>
    <n v="2.0500000000000001E-2"/>
    <n v="1"/>
    <s v="Business properties and retail"/>
    <s v="Valid"/>
    <s v="Match"/>
    <s v="Valid"/>
    <s v="Unique"/>
    <s v="Valid"/>
    <s v="Valid"/>
    <s v="Valid"/>
    <s v="Complete"/>
    <n v="4842179.1619999995"/>
    <n v="12553041.036323847"/>
    <s v="Normal"/>
    <x v="0"/>
  </r>
  <r>
    <s v="2448-OTT-129-00052"/>
    <s v="OTT"/>
    <x v="0"/>
    <x v="0"/>
    <x v="3"/>
    <n v="538414"/>
    <n v="1.21E-2"/>
    <n v="6514.81"/>
    <s v="763 Victoria Rd"/>
    <s v="M5P 6G3"/>
    <s v="Aisha Johnson"/>
    <n v="517564"/>
    <d v="2024-06-02T00:00:00"/>
    <s v="Ottawa"/>
    <n v="1.21E-2"/>
    <n v="1"/>
    <s v="Single-family and multi-unit homes"/>
    <s v="Valid"/>
    <s v="Match"/>
    <s v="Valid"/>
    <s v="Unique"/>
    <s v="Valid"/>
    <s v="Valid"/>
    <s v="Valid"/>
    <s v="Complete"/>
    <n v="4842179.1619999995"/>
    <n v="12553041.036323847"/>
    <s v="Normal"/>
    <x v="0"/>
  </r>
  <r>
    <s v="2284-BRN-246-00053"/>
    <s v="BRN"/>
    <x v="3"/>
    <x v="4"/>
    <x v="1"/>
    <n v="7048885"/>
    <n v="1.49E-2"/>
    <n v="105028.39"/>
    <s v="3814 Lakeshore Rd"/>
    <s v="T4A 7M8"/>
    <s v="Emma Anderson"/>
    <n v="8780642"/>
    <d v="2022-05-10T00:00:00"/>
    <s v="Brampton"/>
    <n v="1.49E-2"/>
    <n v="1"/>
    <s v="Apartment buildings and multi-tenant residential"/>
    <s v="Valid"/>
    <s v="Match"/>
    <s v="Valid"/>
    <s v="Unique"/>
    <s v="Valid"/>
    <s v="Valid"/>
    <s v="Valid"/>
    <s v="Complete"/>
    <n v="4842179.1619999995"/>
    <n v="12553041.036323847"/>
    <s v="Normal"/>
    <x v="0"/>
  </r>
  <r>
    <s v="2435-BRN-493-00054"/>
    <s v="BRN"/>
    <x v="3"/>
    <x v="1"/>
    <x v="3"/>
    <n v="8060570"/>
    <n v="1.8599999999999998E-2"/>
    <n v="149926.6"/>
    <s v="7926 King St, Apt 12"/>
    <s v="M4A 6L0"/>
    <s v="Mary Clark"/>
    <n v="8965307"/>
    <d v="2023-10-15T00:00:00"/>
    <s v="Brampton"/>
    <n v="1.8599999999999998E-2"/>
    <n v="1"/>
    <s v="Manufacturing and warehousing"/>
    <s v="Valid"/>
    <s v="Match"/>
    <s v="Valid"/>
    <s v="Unique"/>
    <s v="Valid"/>
    <s v="Valid"/>
    <s v="Valid"/>
    <s v="Complete"/>
    <n v="4842179.1619999995"/>
    <n v="12553041.036323847"/>
    <s v="Normal"/>
    <x v="0"/>
  </r>
  <r>
    <s v="2334-WDR-735-00055"/>
    <s v="WDR"/>
    <x v="8"/>
    <x v="3"/>
    <x v="0"/>
    <n v="1710342"/>
    <n v="2.07E-2"/>
    <n v="35404.080000000002"/>
    <s v="4116 Park Ave"/>
    <s v="G1B 4T0"/>
    <s v="Michael Brown"/>
    <n v="2083829"/>
    <d v="2021-10-31T00:00:00"/>
    <s v="Windsor"/>
    <n v="2.07E-2"/>
    <n v="1"/>
    <s v="Business properties and retail"/>
    <s v="Valid"/>
    <s v="Match"/>
    <s v="Valid"/>
    <s v="Unique"/>
    <s v="Valid"/>
    <s v="Valid"/>
    <s v="Valid"/>
    <s v="Complete"/>
    <n v="4842179.1619999995"/>
    <n v="12553041.036323847"/>
    <s v="Normal"/>
    <x v="0"/>
  </r>
  <r>
    <s v="2279-BRN-997-00056"/>
    <s v="BRN"/>
    <x v="3"/>
    <x v="3"/>
    <x v="1"/>
    <n v="1417906"/>
    <n v="2.06E-2"/>
    <n v="29208.86"/>
    <s v="6004 Elm St"/>
    <s v="L2L 7M5"/>
    <s v="Martin Holdings Inc."/>
    <n v="1345968"/>
    <d v="2021-07-13T00:00:00"/>
    <s v="Brampton"/>
    <n v="2.06E-2"/>
    <n v="1"/>
    <s v="Business properties and retail"/>
    <s v="Valid"/>
    <s v="Match"/>
    <s v="Valid"/>
    <s v="Unique"/>
    <s v="Valid"/>
    <s v="Valid"/>
    <s v="Valid"/>
    <s v="Complete"/>
    <n v="4842179.1619999995"/>
    <n v="12553041.036323847"/>
    <s v="Normal"/>
    <x v="0"/>
  </r>
  <r>
    <s v="2360-BRN-114-00057"/>
    <s v="BRN"/>
    <x v="3"/>
    <x v="4"/>
    <x v="0"/>
    <n v="3038341"/>
    <n v="1.49E-2"/>
    <n v="45271.28"/>
    <s v="4342 Elm St, Suite 22"/>
    <s v="L9R 5E3"/>
    <s v="Ella Anderson"/>
    <n v="3707808"/>
    <d v="2021-03-29T00:00:00"/>
    <s v="Brampton"/>
    <n v="1.49E-2"/>
    <n v="1"/>
    <s v="Apartment buildings and multi-tenant residential"/>
    <s v="Valid"/>
    <s v="Match"/>
    <s v="Valid"/>
    <s v="Unique"/>
    <s v="Valid"/>
    <s v="Valid"/>
    <s v="Valid"/>
    <s v="Complete"/>
    <n v="4842179.1619999995"/>
    <n v="12553041.036323847"/>
    <s v="Normal"/>
    <x v="0"/>
  </r>
  <r>
    <s v="2324-OTT-243-00058"/>
    <s v="OTT"/>
    <x v="0"/>
    <x v="2"/>
    <x v="0"/>
    <n v="2180676"/>
    <n v="9.1000000000000004E-3"/>
    <n v="19844.150000000001"/>
    <s v="752 Main St"/>
    <s v="V1E 3Y2"/>
    <s v="Noah Nguyen"/>
    <n v="2687211"/>
    <d v="2023-11-27T00:00:00"/>
    <s v="Ottawa"/>
    <n v="9.1000000000000004E-3"/>
    <n v="1"/>
    <s v="Farms and rural properties"/>
    <s v="Valid"/>
    <s v="Match"/>
    <s v="Valid"/>
    <s v="Unique"/>
    <s v="Valid"/>
    <s v="Valid"/>
    <s v="Valid"/>
    <s v="Complete"/>
    <n v="4842179.1619999995"/>
    <n v="12553041.036323847"/>
    <s v="Normal"/>
    <x v="0"/>
  </r>
  <r>
    <s v="2293-OSH-201-00059"/>
    <s v="OSH"/>
    <x v="2"/>
    <x v="2"/>
    <x v="1"/>
    <n v="3174370"/>
    <n v="9.4000000000000004E-3"/>
    <n v="29839.08"/>
    <s v="8027 Cedar Ave"/>
    <s v="L0P 3T7"/>
    <s v="Jackson Developments Inc."/>
    <n v="2967319"/>
    <d v="2023-02-13T00:00:00"/>
    <s v="Oshawa"/>
    <n v="9.4000000000000004E-3"/>
    <n v="1"/>
    <s v="Farms and rural properties"/>
    <s v="Valid"/>
    <s v="Match"/>
    <s v="Valid"/>
    <s v="Unique"/>
    <s v="Valid"/>
    <s v="Valid"/>
    <s v="Valid"/>
    <s v="Complete"/>
    <n v="4842179.1619999995"/>
    <n v="12553041.036323847"/>
    <s v="Normal"/>
    <x v="0"/>
  </r>
  <r>
    <s v="2134-OSH-225-00060"/>
    <s v="OSH"/>
    <x v="9"/>
    <x v="1"/>
    <x v="2"/>
    <n v="4229631"/>
    <n v="1.84E-2"/>
    <n v="77825.210000000006"/>
    <s v="7460 King St"/>
    <s v="A0N 3G9"/>
    <s v="Ella Williams"/>
    <n v="4674732"/>
    <d v="2021-08-12T00:00:00"/>
    <s v="Oshawa"/>
    <n v="1.84E-2"/>
    <n v="1"/>
    <s v="Manufacturing and warehousing"/>
    <s v="Valid"/>
    <s v="Mismatch"/>
    <s v="Valid"/>
    <s v="Unique"/>
    <s v="Valid"/>
    <s v="Valid"/>
    <s v="Valid"/>
    <s v="Complete"/>
    <n v="4842179.1619999995"/>
    <n v="12553041.036323847"/>
    <s v="Normal"/>
    <x v="1"/>
  </r>
  <r>
    <s v="2128-KIN-233-00061"/>
    <s v="KIN"/>
    <x v="10"/>
    <x v="3"/>
    <x v="2"/>
    <n v="1877077"/>
    <n v="2.0299999999999999E-2"/>
    <n v="38104.660000000003"/>
    <s v="8860 Church St"/>
    <s v="E0G 0P3"/>
    <s v="John Johnson"/>
    <n v="1863710"/>
    <d v="2020-06-03T00:00:00"/>
    <s v="Kingston"/>
    <n v="2.0299999999999999E-2"/>
    <n v="1"/>
    <s v="Business properties and retail"/>
    <s v="Valid"/>
    <s v="Match"/>
    <s v="Valid"/>
    <s v="Unique"/>
    <s v="Valid"/>
    <s v="Valid"/>
    <s v="Valid"/>
    <s v="Complete"/>
    <n v="4842179.1619999995"/>
    <n v="12553041.036323847"/>
    <s v="Normal"/>
    <x v="0"/>
  </r>
  <r>
    <s v="2170-BRN-559-00062"/>
    <s v="BRN"/>
    <x v="3"/>
    <x v="4"/>
    <x v="2"/>
    <n v="10207704"/>
    <n v="1.49E-2"/>
    <n v="152094.79"/>
    <s v="5941 Elm St"/>
    <s v="T8K 9B8"/>
    <s v="John Smith"/>
    <n v="12754581"/>
    <d v="2023-07-04T00:00:00"/>
    <s v="Brampton"/>
    <n v="1.49E-2"/>
    <n v="1"/>
    <s v="Apartment buildings and multi-tenant residential"/>
    <s v="Valid"/>
    <s v="Match"/>
    <s v="Valid"/>
    <s v="Unique"/>
    <s v="Valid"/>
    <s v="Valid"/>
    <s v="Valid"/>
    <s v="Complete"/>
    <n v="4842179.1619999995"/>
    <n v="12553041.036323847"/>
    <s v="Normal"/>
    <x v="0"/>
  </r>
  <r>
    <s v="2466-BRN-175-00063"/>
    <s v="BRN"/>
    <x v="10"/>
    <x v="0"/>
    <x v="3"/>
    <n v="947213"/>
    <n v="1.26E-2"/>
    <n v="11934.88"/>
    <s v="1333 Victoria Rd"/>
    <s v="C2L 9Y5"/>
    <s v="Ethan Taylor"/>
    <n v="1002909"/>
    <d v="2024-05-24T00:00:00"/>
    <s v="Brampton"/>
    <n v="1.26E-2"/>
    <n v="1"/>
    <s v="Single-family and multi-unit homes"/>
    <s v="Valid"/>
    <s v="Mismatch"/>
    <s v="Valid"/>
    <s v="Unique"/>
    <s v="Valid"/>
    <s v="Valid"/>
    <s v="Valid"/>
    <s v="Complete"/>
    <n v="4842179.1619999995"/>
    <n v="12553041.036323847"/>
    <s v="Normal"/>
    <x v="1"/>
  </r>
  <r>
    <s v="2193-BRN-998-00064"/>
    <s v="BRN"/>
    <x v="3"/>
    <x v="0"/>
    <x v="2"/>
    <n v="1104516"/>
    <n v="1.26E-2"/>
    <n v="13916.9"/>
    <s v="9043 Maple Ave"/>
    <s v="K6N 7R6"/>
    <s v="Olivia Thomas"/>
    <n v="1114880"/>
    <d v="2021-11-10T00:00:00"/>
    <s v="Brampton"/>
    <n v="1.26E-2"/>
    <n v="1"/>
    <s v="Single-family and multi-unit homes"/>
    <s v="Valid"/>
    <s v="Match"/>
    <s v="Valid"/>
    <s v="Unique"/>
    <s v="Valid"/>
    <s v="Valid"/>
    <s v="Valid"/>
    <s v="Complete"/>
    <n v="4842179.1619999995"/>
    <n v="12553041.036323847"/>
    <s v="Normal"/>
    <x v="0"/>
  </r>
  <r>
    <s v="2420-KIN-195-00065"/>
    <s v="KIN"/>
    <x v="10"/>
    <x v="3"/>
    <x v="3"/>
    <n v="1125483"/>
    <n v="2.0299999999999999E-2"/>
    <n v="22847.3"/>
    <s v="7085 King St"/>
    <s v="P2Y 0Y8"/>
    <s v="Sarah Thomas"/>
    <n v="1152224"/>
    <d v="2024-09-24T00:00:00"/>
    <s v="Kingston"/>
    <n v="2.0299999999999999E-2"/>
    <n v="1"/>
    <s v="Business properties and retail"/>
    <s v="Valid"/>
    <s v="Match"/>
    <s v="Valid"/>
    <s v="Unique"/>
    <s v="Valid"/>
    <s v="Valid"/>
    <s v="Valid"/>
    <s v="Complete"/>
    <n v="4842179.1619999995"/>
    <n v="12553041.036323847"/>
    <s v="Normal"/>
    <x v="0"/>
  </r>
  <r>
    <s v="2355-BRN-206-00066"/>
    <s v="BRN"/>
    <x v="3"/>
    <x v="0"/>
    <x v="0"/>
    <n v="848414"/>
    <n v="1.26E-2"/>
    <n v="10690.02"/>
    <s v="9478 Elm St, Apt 16"/>
    <s v="K1P 8P1"/>
    <s v="Grace White"/>
    <n v="890995"/>
    <d v="2023-02-22T00:00:00"/>
    <s v="Brampton"/>
    <n v="1.26E-2"/>
    <n v="1"/>
    <s v="Single-family and multi-unit homes"/>
    <s v="Valid"/>
    <s v="Match"/>
    <s v="Valid"/>
    <s v="Unique"/>
    <s v="Valid"/>
    <s v="Valid"/>
    <s v="Valid"/>
    <s v="Complete"/>
    <n v="4842179.1619999995"/>
    <n v="12553041.036323847"/>
    <s v="Normal"/>
    <x v="0"/>
  </r>
  <r>
    <s v="2194-GUE-949-00067"/>
    <s v="GUE"/>
    <x v="5"/>
    <x v="4"/>
    <x v="2"/>
    <n v="8338294"/>
    <n v="1.4800000000000001E-2"/>
    <n v="123406.75"/>
    <s v="4391 Main St, Apt 25"/>
    <s v="M5P 0H2"/>
    <s v="Sophia Brown"/>
    <n v="7918512"/>
    <d v="2019-05-06T00:00:00"/>
    <s v="Guelph"/>
    <n v="1.4800000000000001E-2"/>
    <n v="1"/>
    <s v="Apartment buildings and multi-tenant residential"/>
    <s v="Valid"/>
    <s v="Match"/>
    <s v="Valid"/>
    <s v="Unique"/>
    <s v="Valid"/>
    <s v="Valid"/>
    <s v="Valid"/>
    <s v="Complete"/>
    <n v="4842179.1619999995"/>
    <n v="12553041.036323847"/>
    <s v="Normal"/>
    <x v="0"/>
  </r>
  <r>
    <s v="2268-OTT-449-00068"/>
    <s v="OTT"/>
    <x v="0"/>
    <x v="4"/>
    <x v="1"/>
    <n v="5796421"/>
    <n v="1.44E-2"/>
    <n v="83468.460000000006"/>
    <s v="2588 Victoria Rd"/>
    <s v="N9C 0G2"/>
    <s v="Mary Nguyen"/>
    <n v="5382287"/>
    <d v="2023-12-20T00:00:00"/>
    <s v="Ottawa"/>
    <n v="1.44E-2"/>
    <n v="1"/>
    <s v="Apartment buildings and multi-tenant residential"/>
    <s v="Valid"/>
    <s v="Match"/>
    <s v="Valid"/>
    <s v="Unique"/>
    <s v="Valid"/>
    <s v="Valid"/>
    <s v="Valid"/>
    <s v="Complete"/>
    <n v="4842179.1619999995"/>
    <n v="12553041.036323847"/>
    <s v="Normal"/>
    <x v="0"/>
  </r>
  <r>
    <s v="2437-BRN-873-00069"/>
    <s v="BRN"/>
    <x v="3"/>
    <x v="2"/>
    <x v="3"/>
    <n v="1502655"/>
    <n v="9.5999999999999992E-3"/>
    <n v="14425.49"/>
    <s v="8404 King St"/>
    <s v="E4V 8M0"/>
    <s v="Mary Smith"/>
    <n v="1459902"/>
    <d v="2022-03-09T00:00:00"/>
    <s v="Brampton"/>
    <n v="9.5999999999999992E-3"/>
    <n v="1"/>
    <s v="Farms and rural properties"/>
    <s v="Valid"/>
    <s v="Match"/>
    <s v="Valid"/>
    <s v="Unique"/>
    <s v="Valid"/>
    <s v="Valid"/>
    <s v="Valid"/>
    <s v="Complete"/>
    <n v="4842179.1619999995"/>
    <n v="12553041.036323847"/>
    <s v="Normal"/>
    <x v="0"/>
  </r>
  <r>
    <s v="2310-HAM-609-00070"/>
    <s v="HAM"/>
    <x v="7"/>
    <x v="1"/>
    <x v="0"/>
    <n v="3790081"/>
    <n v="1.8800000000000001E-2"/>
    <n v="71253.52"/>
    <s v="7065 Queen St, Apt 23"/>
    <s v="K8Y 5C6"/>
    <s v="Smith Investments Inc."/>
    <n v="3435934"/>
    <d v="2025-03-01T00:00:00"/>
    <s v="Hamilton"/>
    <n v="1.8800000000000001E-2"/>
    <n v="1"/>
    <s v="Manufacturing and warehousing"/>
    <s v="Valid"/>
    <s v="Match"/>
    <s v="Valid"/>
    <s v="Unique"/>
    <s v="Valid"/>
    <s v="Valid"/>
    <s v="Valid"/>
    <s v="Complete"/>
    <n v="4842179.1619999995"/>
    <n v="12553041.036323847"/>
    <s v="Normal"/>
    <x v="0"/>
  </r>
  <r>
    <s v="2491-OTT-527-00071"/>
    <s v="OTT"/>
    <x v="5"/>
    <x v="1"/>
    <x v="3"/>
    <n v="5458093"/>
    <n v="1.8100000000000002E-2"/>
    <n v="98791.48"/>
    <s v="4753 King St"/>
    <s v="N2T 5C6"/>
    <s v="Williams Investments Inc."/>
    <n v="6037224"/>
    <d v="2023-12-10T00:00:00"/>
    <s v="Ottawa"/>
    <n v="1.8100000000000002E-2"/>
    <n v="1"/>
    <s v="Manufacturing and warehousing"/>
    <s v="Valid"/>
    <s v="Mismatch"/>
    <s v="Valid"/>
    <s v="Unique"/>
    <s v="Valid"/>
    <s v="Valid"/>
    <s v="Valid"/>
    <s v="Complete"/>
    <n v="4842179.1619999995"/>
    <n v="12553041.036323847"/>
    <s v="Normal"/>
    <x v="1"/>
  </r>
  <r>
    <s v="2338-OTT-441-00072"/>
    <s v="OTT"/>
    <x v="0"/>
    <x v="2"/>
    <x v="0"/>
    <n v="2525579"/>
    <n v="9.1000000000000004E-3"/>
    <n v="22982.77"/>
    <s v="2764 King St"/>
    <s v="E8X 3P5"/>
    <s v="Michael Williams"/>
    <n v="2363895"/>
    <d v="2021-06-08T00:00:00"/>
    <s v="Ottawa"/>
    <n v="9.1000000000000004E-3"/>
    <n v="1"/>
    <s v="Farms and rural properties"/>
    <s v="Valid"/>
    <s v="Match"/>
    <s v="Valid"/>
    <s v="Unique"/>
    <s v="Valid"/>
    <s v="Valid"/>
    <s v="Valid"/>
    <s v="Complete"/>
    <n v="4842179.1619999995"/>
    <n v="12553041.036323847"/>
    <s v="Normal"/>
    <x v="0"/>
  </r>
  <r>
    <s v="2293-LON-177-00073"/>
    <s v="LON"/>
    <x v="4"/>
    <x v="3"/>
    <x v="1"/>
    <n v="3625187"/>
    <n v="2.0400000000000001E-2"/>
    <n v="73953.81"/>
    <s v="2912 Park Ave"/>
    <s v="T9N 5G7"/>
    <s v="Emma Nguyen"/>
    <n v="3646892"/>
    <m/>
    <s v="London"/>
    <n v="2.0400000000000001E-2"/>
    <n v="1"/>
    <s v="Business properties and retail"/>
    <s v="Valid"/>
    <s v="Match"/>
    <s v="Valid"/>
    <s v="Unique"/>
    <s v="Valid"/>
    <s v="Valid"/>
    <m/>
    <s v="Complete"/>
    <n v="4842179.1619999995"/>
    <n v="12553041.036323847"/>
    <s v="Normal"/>
    <x v="2"/>
  </r>
  <r>
    <s v="2253-MSS-909-00110"/>
    <s v="GUE"/>
    <x v="5"/>
    <x v="0"/>
    <x v="0"/>
    <n v="776498"/>
    <n v="1.2500000000000001E-2"/>
    <n v="9706.23"/>
    <s v="7414 Main St, Suite 3"/>
    <s v="C9X 6T9"/>
    <s v="Mary Martin"/>
    <n v="945905"/>
    <d v="2023-03-16T00:00:00"/>
    <s v="Guelph"/>
    <n v="1.2500000000000001E-2"/>
    <n v="2"/>
    <s v="Single-family and multi-unit homes"/>
    <s v="Valid"/>
    <s v="Match"/>
    <s v="Valid"/>
    <s v="Duplicate"/>
    <s v="Valid"/>
    <s v="Valid"/>
    <s v="Valid"/>
    <s v="Complete"/>
    <n v="4842179.1619999995"/>
    <n v="12553041.036323847"/>
    <s v="Normal"/>
    <x v="1"/>
  </r>
  <r>
    <s v="2253-MSS-909-00110"/>
    <s v="MSS"/>
    <x v="6"/>
    <x v="1"/>
    <x v="1"/>
    <n v="1246108"/>
    <n v="1.89E-2"/>
    <n v="23551.439999999999"/>
    <s v="4843 Cedar Ave"/>
    <s v="J2R 6X5"/>
    <s v="Sarah Johnson"/>
    <n v="1549647"/>
    <d v="2024-05-09T00:00:00"/>
    <s v="Mississauga"/>
    <n v="1.89E-2"/>
    <n v="2"/>
    <s v="Manufacturing and warehousing"/>
    <s v="Valid"/>
    <s v="Match"/>
    <s v="Valid"/>
    <s v="Duplicate"/>
    <s v="Valid"/>
    <s v="Valid"/>
    <s v="Valid"/>
    <s v="Complete"/>
    <n v="4842179.1619999995"/>
    <n v="12553041.036323847"/>
    <s v="Normal"/>
    <x v="1"/>
  </r>
  <r>
    <s v="2417-LON-561-00075"/>
    <s v="LON"/>
    <x v="4"/>
    <x v="1"/>
    <x v="3"/>
    <n v="4927318"/>
    <n v="1.84E-2"/>
    <n v="90662.65"/>
    <s v="1705 Victoria Rd"/>
    <s v="C8H 0K7"/>
    <s v="Lee Group Inc."/>
    <n v="5486233"/>
    <d v="2023-01-16T00:00:00"/>
    <s v="London"/>
    <n v="1.84E-2"/>
    <n v="1"/>
    <s v="Manufacturing and warehousing"/>
    <s v="Valid"/>
    <s v="Match"/>
    <s v="Valid"/>
    <s v="Unique"/>
    <s v="Valid"/>
    <s v="Valid"/>
    <s v="Valid"/>
    <s v="Complete"/>
    <n v="4842179.1619999995"/>
    <n v="12553041.036323847"/>
    <s v="Normal"/>
    <x v="0"/>
  </r>
  <r>
    <s v="2453-KIN-795-00076"/>
    <s v="KIN"/>
    <x v="10"/>
    <x v="1"/>
    <x v="3"/>
    <n v="4298555"/>
    <n v="1.83E-2"/>
    <n v="78663.56"/>
    <s v="9805 Main St"/>
    <s v="N1N 1Y6"/>
    <s v="Michael Anderson"/>
    <n v="3991319"/>
    <d v="2024-09-21T00:00:00"/>
    <s v="Kingston"/>
    <n v="1.83E-2"/>
    <n v="1"/>
    <s v="Manufacturing and warehousing"/>
    <s v="Valid"/>
    <s v="Match"/>
    <s v="Valid"/>
    <s v="Unique"/>
    <s v="Valid"/>
    <s v="Valid"/>
    <s v="Valid"/>
    <s v="Complete"/>
    <n v="4842179.1619999995"/>
    <n v="12553041.036323847"/>
    <s v="Normal"/>
    <x v="0"/>
  </r>
  <r>
    <s v="2399-HAM-778-00077"/>
    <s v="HAM"/>
    <x v="7"/>
    <x v="1"/>
    <x v="0"/>
    <n v="10199809"/>
    <n v="1.8800000000000001E-2"/>
    <n v="191756.41"/>
    <s v="6431 Queen St"/>
    <s v="C4Y 6N2"/>
    <s v="Ethan Brown"/>
    <n v="11486094"/>
    <d v="2022-05-17T00:00:00"/>
    <s v="Hamilton"/>
    <n v="1.8800000000000001E-2"/>
    <n v="1"/>
    <s v="Manufacturing and warehousing"/>
    <s v="Valid"/>
    <s v="Match"/>
    <s v="Valid"/>
    <s v="Unique"/>
    <s v="Valid"/>
    <s v="Valid"/>
    <s v="Valid"/>
    <s v="Complete"/>
    <n v="4842179.1619999995"/>
    <n v="12553041.036323847"/>
    <s v="Normal"/>
    <x v="0"/>
  </r>
  <r>
    <s v="2133-OSH-319-00078"/>
    <s v="OSH"/>
    <x v="2"/>
    <x v="1"/>
    <x v="2"/>
    <n v="4003488"/>
    <n v="1.84E-2"/>
    <n v="73664.179999999993"/>
    <s v="5608 Lakeshore Rd, Unit 5"/>
    <s v="C4E 8Y8"/>
    <s v="Olivia Clark"/>
    <n v="4676905"/>
    <d v="2020-06-20T00:00:00"/>
    <s v="Oshawa"/>
    <n v="1.84E-2"/>
    <n v="1"/>
    <s v="Manufacturing and warehousing"/>
    <s v="Valid"/>
    <s v="Match"/>
    <s v="Valid"/>
    <s v="Unique"/>
    <s v="Valid"/>
    <s v="Valid"/>
    <s v="Valid"/>
    <s v="Complete"/>
    <n v="4842179.1619999995"/>
    <n v="12553041.036323847"/>
    <s v="Normal"/>
    <x v="0"/>
  </r>
  <r>
    <s v="2298-GUE-889-00079"/>
    <s v="GUE"/>
    <x v="5"/>
    <x v="2"/>
    <x v="1"/>
    <n v="914642"/>
    <n v="9.4999999999999998E-3"/>
    <n v="8689.1"/>
    <s v="2722 Lakeshore Rd, Suite 22"/>
    <s v="K7M 7K8"/>
    <s v="Chloe Clark"/>
    <n v="1090518"/>
    <d v="2023-02-15T00:00:00"/>
    <s v="Guelph"/>
    <n v="9.4999999999999998E-3"/>
    <n v="1"/>
    <s v="Farms and rural properties"/>
    <s v="Valid"/>
    <s v="Match"/>
    <s v="Valid"/>
    <s v="Unique"/>
    <s v="Valid"/>
    <s v="Valid"/>
    <s v="Valid"/>
    <s v="Complete"/>
    <n v="4842179.1619999995"/>
    <n v="12553041.036323847"/>
    <s v="Normal"/>
    <x v="0"/>
  </r>
  <r>
    <s v="2458-GUE-614-00080"/>
    <s v="GUE"/>
    <x v="5"/>
    <x v="2"/>
    <x v="3"/>
    <n v="2619604"/>
    <n v="9.4999999999999998E-3"/>
    <n v="24886.240000000002"/>
    <s v="8651 Wellington St"/>
    <s v="J9G 4B7"/>
    <s v="Lee Holdings Inc."/>
    <n v="3009900"/>
    <d v="2023-11-23T00:00:00"/>
    <s v="Guelph"/>
    <n v="9.4999999999999998E-3"/>
    <n v="1"/>
    <s v="Farms and rural properties"/>
    <s v="Valid"/>
    <s v="Match"/>
    <s v="Valid"/>
    <s v="Unique"/>
    <s v="Valid"/>
    <s v="Valid"/>
    <s v="Valid"/>
    <s v="Complete"/>
    <n v="4842179.1619999995"/>
    <n v="12553041.036323847"/>
    <s v="Normal"/>
    <x v="0"/>
  </r>
  <r>
    <s v="2144-OTT-560-00081"/>
    <s v="OTT"/>
    <x v="0"/>
    <x v="1"/>
    <x v="2"/>
    <n v="7125154"/>
    <n v="1.8100000000000002E-2"/>
    <n v="129115.29"/>
    <s v="8420 Queen St"/>
    <s v="C3T 5A6"/>
    <s v="Ethan Anderson"/>
    <n v="7000623"/>
    <d v="2019-12-01T00:00:00"/>
    <s v="Ottawa"/>
    <n v="1.8100000000000002E-2"/>
    <n v="1"/>
    <s v="Manufacturing and warehousing"/>
    <s v="Valid"/>
    <s v="Match"/>
    <s v="Mismatch"/>
    <s v="Unique"/>
    <s v="Valid"/>
    <s v="Valid"/>
    <s v="Valid"/>
    <s v="Complete"/>
    <n v="4842179.1619999995"/>
    <n v="12553041.036323847"/>
    <s v="Normal"/>
    <x v="1"/>
  </r>
  <r>
    <s v="2325-BRN-148-00083"/>
    <s v="BRN"/>
    <x v="3"/>
    <x v="0"/>
    <x v="0"/>
    <n v="594703"/>
    <n v="1.26E-2"/>
    <n v="7493.26"/>
    <s v="3916 Wellington St"/>
    <s v="T1E 7Y0"/>
    <s v="Grace Wilson"/>
    <n v="565118"/>
    <d v="2022-05-29T00:00:00"/>
    <s v="Brampton"/>
    <n v="1.26E-2"/>
    <n v="1"/>
    <s v="Single-family and multi-unit homes"/>
    <s v="Valid"/>
    <s v="Match"/>
    <s v="Valid"/>
    <s v="Unique"/>
    <s v="Valid"/>
    <s v="Valid"/>
    <s v="Valid"/>
    <s v="Complete"/>
    <n v="4842179.1619999995"/>
    <n v="12553041.036323847"/>
    <s v="Normal"/>
    <x v="0"/>
  </r>
  <r>
    <s v="2363-TOR-291-00084"/>
    <s v="TOR"/>
    <x v="1"/>
    <x v="4"/>
    <x v="0"/>
    <n v="4534945"/>
    <n v="1.4800000000000001E-2"/>
    <n v="67117.19"/>
    <s v="1412 Elm St"/>
    <s v="C8Y 8X8"/>
    <s v="Chloe Smith"/>
    <n v="5090407"/>
    <d v="2022-02-03T00:00:00"/>
    <s v="Toronto"/>
    <n v="1.4800000000000001E-2"/>
    <n v="1"/>
    <s v="Apartment buildings and multi-tenant residential"/>
    <s v="Valid"/>
    <s v="Match"/>
    <s v="Valid"/>
    <s v="Unique"/>
    <s v="Valid"/>
    <s v="Valid"/>
    <s v="Valid"/>
    <s v="Complete"/>
    <n v="4842179.1619999995"/>
    <n v="12553041.036323847"/>
    <s v="Normal"/>
    <x v="0"/>
  </r>
  <r>
    <s v="2354-WDR-346-00085"/>
    <s v="WDR"/>
    <x v="8"/>
    <x v="0"/>
    <x v="0"/>
    <n v="1025977"/>
    <n v="1.17E-2"/>
    <n v="13029.91"/>
    <s v="1708 Cedar Ave"/>
    <s v="N2B 5Y5"/>
    <s v="Johnson Investments Inc."/>
    <n v="1275584"/>
    <d v="2022-09-07T00:00:00"/>
    <s v="Windsor"/>
    <n v="1.2699999999999999E-2"/>
    <n v="1"/>
    <s v="Single-family and multi-unit homes"/>
    <s v="Valid"/>
    <s v="Match"/>
    <s v="Valid"/>
    <s v="Unique"/>
    <s v="Valid"/>
    <s v="Valid"/>
    <s v="Valid"/>
    <s v="Complete"/>
    <n v="4842179.1619999995"/>
    <n v="12553041.036323847"/>
    <s v="Normal"/>
    <x v="0"/>
  </r>
  <r>
    <s v="2168-HAM-137-00086"/>
    <s v="HAM"/>
    <x v="7"/>
    <x v="3"/>
    <x v="2"/>
    <n v="3415697"/>
    <n v="2.0799999999999999E-2"/>
    <n v="71046.5"/>
    <s v="4817 Maple Ave, Unit 29"/>
    <s v="B5M 8R8"/>
    <s v="Mary White"/>
    <n v="3847493"/>
    <d v="2022-03-17T00:00:00"/>
    <s v="Hamilton"/>
    <n v="2.0799999999999999E-2"/>
    <n v="1"/>
    <s v="Business properties and retail"/>
    <s v="Valid"/>
    <s v="Match"/>
    <s v="Valid"/>
    <s v="Unique"/>
    <s v="Valid"/>
    <s v="Valid"/>
    <s v="Valid"/>
    <s v="Complete"/>
    <n v="4842179.1619999995"/>
    <n v="12553041.036323847"/>
    <s v="Normal"/>
    <x v="0"/>
  </r>
  <r>
    <s v="2357-KIN-547-00087"/>
    <s v="KIN"/>
    <x v="10"/>
    <x v="0"/>
    <x v="0"/>
    <n v="619606"/>
    <n v="1.1299999999999999E-2"/>
    <n v="7621.15"/>
    <s v="6563 Lakeshore Rd"/>
    <s v="R5H 7V5"/>
    <s v="Lee Developments Inc."/>
    <n v="731384"/>
    <d v="2024-01-29T00:00:00"/>
    <s v="Kingston"/>
    <n v="1.23E-2"/>
    <n v="1"/>
    <s v="Single-family and multi-unit homes"/>
    <s v="Valid"/>
    <s v="Match"/>
    <s v="Valid"/>
    <s v="Unique"/>
    <s v="Valid"/>
    <s v="Valid"/>
    <s v="Valid"/>
    <s v="Complete"/>
    <n v="4842179.1619999995"/>
    <n v="12553041.036323847"/>
    <s v="Normal"/>
    <x v="0"/>
  </r>
  <r>
    <s v="2433-BRN-658-00088"/>
    <s v="BRN"/>
    <x v="3"/>
    <x v="0"/>
    <x v="3"/>
    <n v="850082"/>
    <n v="1.26E-2"/>
    <n v="10711.03"/>
    <s v="4823 Victoria Rd, Suite 22"/>
    <s v="M4T 9S2"/>
    <s v="Noah Martin"/>
    <n v="777676"/>
    <m/>
    <s v="Brampton"/>
    <n v="1.26E-2"/>
    <n v="1"/>
    <s v="Single-family and multi-unit homes"/>
    <s v="Valid"/>
    <s v="Match"/>
    <s v="Valid"/>
    <s v="Unique"/>
    <s v="Valid"/>
    <s v="Valid"/>
    <m/>
    <s v="Complete"/>
    <n v="4842179.1619999995"/>
    <n v="12553041.036323847"/>
    <s v="Normal"/>
    <x v="2"/>
  </r>
  <r>
    <s v="2317-GUE-176-00089"/>
    <s v="GUE"/>
    <x v="5"/>
    <x v="2"/>
    <x v="0"/>
    <n v="2148596"/>
    <n v="9.4999999999999998E-3"/>
    <n v="20411.66"/>
    <s v="6665 Victoria Rd"/>
    <s v="H0G 9T0"/>
    <s v="Grace White"/>
    <n v="2418904"/>
    <d v="2022-01-11T00:00:00"/>
    <s v="Guelph"/>
    <n v="9.4999999999999998E-3"/>
    <n v="1"/>
    <s v="Farms and rural properties"/>
    <s v="Valid"/>
    <s v="Match"/>
    <s v="Valid"/>
    <s v="Unique"/>
    <s v="Valid"/>
    <s v="Valid"/>
    <s v="Valid"/>
    <s v="Complete"/>
    <n v="4842179.1619999995"/>
    <n v="12553041.036323847"/>
    <s v="Normal"/>
    <x v="0"/>
  </r>
  <r>
    <s v="2271-MSS-398-00484"/>
    <s v="BRN"/>
    <x v="3"/>
    <x v="4"/>
    <x v="2"/>
    <n v="8290229"/>
    <n v="1.49E-2"/>
    <n v="123524.41"/>
    <s v="6087 Victoria Rd"/>
    <s v="C9G 8P6"/>
    <s v="James Williams"/>
    <n v="10248232"/>
    <d v="2019-04-17T00:00:00"/>
    <s v="Brampton"/>
    <n v="1.49E-2"/>
    <n v="2"/>
    <s v="Apartment buildings and multi-tenant residential"/>
    <s v="Valid"/>
    <s v="Match"/>
    <s v="Valid"/>
    <s v="Duplicate"/>
    <s v="Valid"/>
    <s v="Valid"/>
    <s v="Valid"/>
    <s v="Complete"/>
    <n v="4842179.1619999995"/>
    <n v="12553041.036323847"/>
    <s v="Normal"/>
    <x v="1"/>
  </r>
  <r>
    <s v="2271-MSS-398-00484"/>
    <s v="MSS"/>
    <x v="6"/>
    <x v="3"/>
    <x v="1"/>
    <n v="2376894"/>
    <n v="2.0899999999999998E-2"/>
    <n v="49677.08"/>
    <s v="2382 Maple Ave, Apt 7"/>
    <s v="A5E 2R6"/>
    <s v="Aisha Clark"/>
    <n v="2186068"/>
    <d v="2022-12-27T00:00:00"/>
    <s v="Mississauga"/>
    <n v="2.0899999999999998E-2"/>
    <n v="2"/>
    <s v="Business properties and retail"/>
    <s v="Valid"/>
    <s v="Match"/>
    <s v="Valid"/>
    <s v="Duplicate"/>
    <s v="Valid"/>
    <s v="Valid"/>
    <s v="Valid"/>
    <s v="Complete"/>
    <n v="4842179.1619999995"/>
    <n v="12553041.036323847"/>
    <s v="Normal"/>
    <x v="1"/>
  </r>
  <r>
    <s v="2425-HAM-368-00091"/>
    <s v="HAM"/>
    <x v="7"/>
    <x v="5"/>
    <x v="3"/>
    <n v="3348517"/>
    <n v="9.7999999999999997E-3"/>
    <n v="32815.47"/>
    <s v="4274 Lakeshore Rd, Apt 10"/>
    <s v="V3E 2C7"/>
    <s v="Emma Brown"/>
    <n v="3963571"/>
    <d v="2022-10-17T00:00:00"/>
    <s v="Hamilton"/>
    <m/>
    <n v="1"/>
    <m/>
    <s v="Valid"/>
    <s v="Match"/>
    <s v="Mismatch"/>
    <s v="Unique"/>
    <s v="Valid"/>
    <s v="Invalid"/>
    <s v="Valid"/>
    <s v="Complete"/>
    <n v="4842179.1619999995"/>
    <n v="12553041.036323847"/>
    <s v="Normal"/>
    <x v="1"/>
  </r>
  <r>
    <s v="2330-KIN-828-00092"/>
    <s v="KIN"/>
    <x v="10"/>
    <x v="0"/>
    <x v="0"/>
    <n v="1160206"/>
    <n v="1.23E-2"/>
    <n v="14270.53"/>
    <s v="2862 Victoria Rd"/>
    <s v="E3G 3V0"/>
    <s v="Noah Martin"/>
    <n v="1370530"/>
    <d v="2023-02-03T00:00:00"/>
    <s v="Kingston"/>
    <n v="1.23E-2"/>
    <n v="1"/>
    <s v="Single-family and multi-unit homes"/>
    <s v="Valid"/>
    <s v="Match"/>
    <s v="Valid"/>
    <s v="Unique"/>
    <s v="Valid"/>
    <s v="Valid"/>
    <s v="Valid"/>
    <s v="Complete"/>
    <n v="4842179.1619999995"/>
    <n v="12553041.036323847"/>
    <s v="Normal"/>
    <x v="0"/>
  </r>
  <r>
    <s v="2160-HAM-834-00093"/>
    <s v="HAM"/>
    <x v="7"/>
    <x v="4"/>
    <x v="2"/>
    <n v="2695256"/>
    <n v="1.5100000000000001E-2"/>
    <n v="40698.370000000003"/>
    <s v="7852 Elm St"/>
    <s v="S9C 2N1"/>
    <s v="Ethan Anderson"/>
    <n v="2546794"/>
    <d v="2025-03-08T00:00:00"/>
    <s v="Hamilton"/>
    <n v="1.5100000000000001E-2"/>
    <n v="1"/>
    <s v="Apartment buildings and multi-tenant residential"/>
    <s v="Valid"/>
    <s v="Match"/>
    <s v="Valid"/>
    <s v="Unique"/>
    <s v="Valid"/>
    <s v="Valid"/>
    <s v="Valid"/>
    <s v="Complete"/>
    <n v="4842179.1619999995"/>
    <n v="12553041.036323847"/>
    <s v="Normal"/>
    <x v="0"/>
  </r>
  <r>
    <s v="2217-GUE-951-00094"/>
    <s v="GUE"/>
    <x v="5"/>
    <x v="3"/>
    <x v="1"/>
    <n v="2346944"/>
    <n v="2.0500000000000001E-2"/>
    <n v="48112.35"/>
    <s v="2044 Elm St, Unit 6"/>
    <s v="N3P 8M1"/>
    <s v="Ella Taylor"/>
    <n v="2215068"/>
    <d v="2022-05-25T00:00:00"/>
    <s v="Guelph"/>
    <n v="2.0500000000000001E-2"/>
    <n v="1"/>
    <s v="Business properties and retail"/>
    <s v="Valid"/>
    <s v="Match"/>
    <s v="Valid"/>
    <s v="Unique"/>
    <s v="Valid"/>
    <s v="Valid"/>
    <s v="Valid"/>
    <s v="Complete"/>
    <n v="4842179.1619999995"/>
    <n v="12553041.036323847"/>
    <s v="Normal"/>
    <x v="0"/>
  </r>
  <r>
    <s v="2131-GUE-706-00095"/>
    <s v="GUE"/>
    <x v="5"/>
    <x v="4"/>
    <x v="2"/>
    <n v="7102492"/>
    <n v="1.4800000000000001E-2"/>
    <n v="105116.88"/>
    <s v="9523 Queen St, Apt 24"/>
    <s v="N9B 0C0"/>
    <s v="White Group Inc."/>
    <n v="7050144"/>
    <d v="2021-05-13T00:00:00"/>
    <s v="Guelph"/>
    <n v="1.4800000000000001E-2"/>
    <n v="1"/>
    <s v="Apartment buildings and multi-tenant residential"/>
    <s v="Valid"/>
    <s v="Match"/>
    <s v="Valid"/>
    <s v="Unique"/>
    <s v="Valid"/>
    <s v="Valid"/>
    <s v="Valid"/>
    <s v="Complete"/>
    <n v="4842179.1619999995"/>
    <n v="12553041.036323847"/>
    <s v="Normal"/>
    <x v="0"/>
  </r>
  <r>
    <s v="2190-GUE-658-00096"/>
    <s v="GUE"/>
    <x v="5"/>
    <x v="2"/>
    <x v="2"/>
    <n v="1725457"/>
    <n v="9.4999999999999998E-3"/>
    <n v="16391.84"/>
    <s v="4755 Park Ave"/>
    <s v="V3R 4T1"/>
    <s v="Aisha Martin"/>
    <n v="1803909"/>
    <d v="2024-03-17T00:00:00"/>
    <s v="Guelph"/>
    <n v="9.4999999999999998E-3"/>
    <n v="1"/>
    <s v="Farms and rural properties"/>
    <s v="Valid"/>
    <s v="Match"/>
    <s v="Valid"/>
    <s v="Unique"/>
    <s v="Valid"/>
    <s v="Valid"/>
    <s v="Valid"/>
    <s v="Complete"/>
    <n v="4842179.1619999995"/>
    <n v="12553041.036323847"/>
    <s v="Normal"/>
    <x v="0"/>
  </r>
  <r>
    <s v="2250-LON-851-00097"/>
    <s v="LON"/>
    <x v="4"/>
    <x v="1"/>
    <x v="1"/>
    <n v="3695680"/>
    <n v="1.84E-2"/>
    <n v="68000.509999999995"/>
    <s v="5668 Wellington St, Suite 17"/>
    <s v="Y1N 3T1"/>
    <s v="Grace Johnson"/>
    <n v="3451337"/>
    <d v="2022-04-03T00:00:00"/>
    <s v="London"/>
    <n v="1.84E-2"/>
    <n v="1"/>
    <s v="Manufacturing and warehousing"/>
    <s v="Valid"/>
    <s v="Match"/>
    <s v="Valid"/>
    <s v="Unique"/>
    <s v="Valid"/>
    <s v="Valid"/>
    <s v="Valid"/>
    <s v="Complete"/>
    <n v="4842179.1619999995"/>
    <n v="12553041.036323847"/>
    <s v="Normal"/>
    <x v="0"/>
  </r>
  <r>
    <s v="2430-BRN-933-00098"/>
    <s v="BRN"/>
    <x v="3"/>
    <x v="4"/>
    <x v="3"/>
    <n v="4603435"/>
    <n v="1.49E-2"/>
    <n v="68591.179999999993"/>
    <s v="5374 Cedar Ave"/>
    <s v="J2V 8T7"/>
    <s v="Martin Holdings Inc."/>
    <n v="4288179"/>
    <d v="2023-03-17T00:00:00"/>
    <s v="Brampton"/>
    <n v="1.49E-2"/>
    <n v="1"/>
    <s v="Apartment buildings and multi-tenant residential"/>
    <s v="Valid"/>
    <s v="Match"/>
    <s v="Valid"/>
    <s v="Unique"/>
    <s v="Valid"/>
    <s v="Valid"/>
    <s v="Valid"/>
    <s v="Complete"/>
    <n v="4842179.1619999995"/>
    <n v="12553041.036323847"/>
    <s v="Normal"/>
    <x v="0"/>
  </r>
  <r>
    <s v="2255-OSH-149-00099"/>
    <s v="OSH"/>
    <x v="2"/>
    <x v="2"/>
    <x v="1"/>
    <n v="1030628"/>
    <n v="9.4000000000000004E-3"/>
    <n v="9687.9"/>
    <s v="838 Church St"/>
    <s v="V4Y 0E6"/>
    <s v="James Wilson"/>
    <n v="1059508"/>
    <d v="2023-07-10T00:00:00"/>
    <s v="Oshawa"/>
    <n v="9.4000000000000004E-3"/>
    <n v="1"/>
    <s v="Farms and rural properties"/>
    <s v="Valid"/>
    <s v="Match"/>
    <s v="Valid"/>
    <s v="Unique"/>
    <s v="Valid"/>
    <s v="Valid"/>
    <s v="Valid"/>
    <s v="Complete"/>
    <n v="4842179.1619999995"/>
    <n v="12553041.036323847"/>
    <s v="Normal"/>
    <x v="0"/>
  </r>
  <r>
    <s v="2481-KIN-299-00100"/>
    <s v="KIN"/>
    <x v="10"/>
    <x v="0"/>
    <x v="3"/>
    <n v="409934"/>
    <n v="1.23E-2"/>
    <n v="5042.1899999999996"/>
    <s v="5949 Elm St"/>
    <s v="R8T 8L9"/>
    <s v="Sarah Johnson"/>
    <n v="508842"/>
    <d v="2023-03-18T00:00:00"/>
    <s v="Kingston"/>
    <n v="1.23E-2"/>
    <n v="1"/>
    <s v="Single-family and multi-unit homes"/>
    <s v="Valid"/>
    <s v="Match"/>
    <s v="Valid"/>
    <s v="Unique"/>
    <s v="Valid"/>
    <s v="Valid"/>
    <s v="Valid"/>
    <s v="Complete"/>
    <n v="4842179.1619999995"/>
    <n v="12553041.036323847"/>
    <s v="Normal"/>
    <x v="0"/>
  </r>
  <r>
    <s v="2335-KIN-716-00101"/>
    <s v="KIN"/>
    <x v="0"/>
    <x v="1"/>
    <x v="0"/>
    <n v="7041987"/>
    <n v="1.83E-2"/>
    <n v="128868.36"/>
    <s v="8351 Wellington St"/>
    <s v="B0G 5V8"/>
    <s v="Ethan Johnson"/>
    <n v="7146124"/>
    <d v="2023-06-09T00:00:00"/>
    <s v="Kingston"/>
    <n v="1.83E-2"/>
    <n v="1"/>
    <s v="Manufacturing and warehousing"/>
    <s v="Valid"/>
    <s v="Mismatch"/>
    <s v="Valid"/>
    <s v="Unique"/>
    <s v="Valid"/>
    <s v="Valid"/>
    <s v="Valid"/>
    <s v="Complete"/>
    <n v="4842179.1619999995"/>
    <n v="12553041.036323847"/>
    <s v="Normal"/>
    <x v="1"/>
  </r>
  <r>
    <s v="2448-KIN-707-00102"/>
    <s v="KIN"/>
    <x v="10"/>
    <x v="3"/>
    <x v="3"/>
    <n v="5530194"/>
    <n v="2.0299999999999999E-2"/>
    <n v="112262.94"/>
    <s v="5521 Elm St"/>
    <s v="Y7M 7A5"/>
    <s v="Sarah Thomas"/>
    <n v="6106970"/>
    <d v="2025-01-25T00:00:00"/>
    <s v="Kingston"/>
    <n v="2.0299999999999999E-2"/>
    <n v="1"/>
    <s v="Business properties and retail"/>
    <s v="Valid"/>
    <s v="Match"/>
    <s v="Valid"/>
    <s v="Unique"/>
    <s v="Valid"/>
    <s v="Valid"/>
    <s v="Valid"/>
    <s v="Complete"/>
    <n v="4842179.1619999995"/>
    <n v="12553041.036323847"/>
    <s v="Normal"/>
    <x v="0"/>
  </r>
  <r>
    <s v="2493-TOR-901-00103"/>
    <s v="TOR"/>
    <x v="1"/>
    <x v="4"/>
    <x v="3"/>
    <n v="4758125"/>
    <n v="1.4800000000000001E-2"/>
    <n v="70420.25"/>
    <s v="9487 Cedar Ave, Unit 19"/>
    <s v="V2X 9R2"/>
    <s v="Williams Holdings Inc."/>
    <n v="5235839"/>
    <d v="2024-12-05T00:00:00"/>
    <s v="Toronto"/>
    <n v="1.4800000000000001E-2"/>
    <n v="1"/>
    <s v="Apartment buildings and multi-tenant residential"/>
    <s v="Valid"/>
    <s v="Match"/>
    <s v="Valid"/>
    <s v="Unique"/>
    <s v="Valid"/>
    <s v="Valid"/>
    <s v="Valid"/>
    <s v="Complete"/>
    <n v="4842179.1619999995"/>
    <n v="12553041.036323847"/>
    <s v="Normal"/>
    <x v="0"/>
  </r>
  <r>
    <s v="2163-OTT-255-00104"/>
    <s v="OTT"/>
    <x v="0"/>
    <x v="3"/>
    <x v="2"/>
    <n v="2374152"/>
    <n v="2.01E-2"/>
    <n v="47720.46"/>
    <s v="6775 Maple Ave"/>
    <s v="V0G 8J8"/>
    <s v="Chloe Lee"/>
    <n v="2449861"/>
    <d v="2020-12-10T00:00:00"/>
    <s v="Ottawa"/>
    <n v="2.01E-2"/>
    <n v="1"/>
    <s v="Business properties and retail"/>
    <s v="Valid"/>
    <s v="Match"/>
    <s v="Valid"/>
    <s v="Unique"/>
    <s v="Valid"/>
    <s v="Valid"/>
    <s v="Valid"/>
    <s v="Complete"/>
    <n v="4842179.1619999995"/>
    <n v="12553041.036323847"/>
    <s v="Normal"/>
    <x v="0"/>
  </r>
  <r>
    <s v="2396-MSS-890-00105"/>
    <s v="MSS"/>
    <x v="6"/>
    <x v="4"/>
    <x v="0"/>
    <n v="7592179"/>
    <n v="1.52E-2"/>
    <n v="115401.12"/>
    <s v="4341 Cedar Ave"/>
    <s v="K4Y 4K4"/>
    <s v="Daniel Wilson"/>
    <n v="8706300"/>
    <d v="2021-10-11T00:00:00"/>
    <s v="Mississauga"/>
    <n v="1.52E-2"/>
    <n v="1"/>
    <s v="Apartment buildings and multi-tenant residential"/>
    <s v="Valid"/>
    <s v="Match"/>
    <s v="Valid"/>
    <s v="Unique"/>
    <s v="Valid"/>
    <s v="Valid"/>
    <s v="Valid"/>
    <s v="Complete"/>
    <n v="4842179.1619999995"/>
    <n v="12553041.036323847"/>
    <s v="Normal"/>
    <x v="0"/>
  </r>
  <r>
    <s v="2383-MSS-792-00106"/>
    <s v="MSS"/>
    <x v="6"/>
    <x v="1"/>
    <x v="0"/>
    <n v="3547251"/>
    <n v="1.7899999999999999E-2"/>
    <n v="67043.039999999994"/>
    <s v="8909 Wellington St"/>
    <s v="R5G 4B4"/>
    <s v="Brown Developments Inc."/>
    <n v="4339719"/>
    <d v="2023-09-05T00:00:00"/>
    <s v="Mississauga"/>
    <n v="1.89E-2"/>
    <n v="1"/>
    <s v="Manufacturing and warehousing"/>
    <s v="Valid"/>
    <s v="Match"/>
    <s v="Valid"/>
    <s v="Unique"/>
    <s v="Valid"/>
    <s v="Valid"/>
    <s v="Valid"/>
    <s v="Complete"/>
    <n v="4842179.1619999995"/>
    <n v="12553041.036323847"/>
    <s v="Normal"/>
    <x v="0"/>
  </r>
  <r>
    <s v="2278-WDR-377-00107"/>
    <s v="WDR"/>
    <x v="1"/>
    <x v="2"/>
    <x v="1"/>
    <n v="1001845"/>
    <n v="9.7000000000000003E-3"/>
    <n v="9717.9"/>
    <s v="9218 Church St, Apt 24"/>
    <s v="K3B 8K3"/>
    <s v="Liam Anderson"/>
    <n v="1153199"/>
    <d v="2020-02-16T00:00:00"/>
    <s v="Windsor"/>
    <n v="9.7000000000000003E-3"/>
    <n v="1"/>
    <s v="Farms and rural properties"/>
    <s v="Valid"/>
    <s v="Mismatch"/>
    <s v="Valid"/>
    <s v="Unique"/>
    <s v="Valid"/>
    <s v="Valid"/>
    <s v="Valid"/>
    <s v="Complete"/>
    <n v="4842179.1619999995"/>
    <n v="12553041.036323847"/>
    <s v="Normal"/>
    <x v="1"/>
  </r>
  <r>
    <s v="2270-HAM-588-00108"/>
    <s v="HAM"/>
    <x v="7"/>
    <x v="0"/>
    <x v="1"/>
    <n v="706173"/>
    <n v="1.2800000000000001E-2"/>
    <n v="9039.01"/>
    <s v="3277 Church St"/>
    <s v="B1K 8B2"/>
    <s v="Aisha Clark"/>
    <n v="862853"/>
    <d v="2023-06-15T00:00:00"/>
    <s v="Hamilton"/>
    <n v="1.2800000000000001E-2"/>
    <n v="1"/>
    <s v="Single-family and multi-unit homes"/>
    <s v="Valid"/>
    <s v="Match"/>
    <s v="Valid"/>
    <s v="Unique"/>
    <s v="Valid"/>
    <s v="Valid"/>
    <s v="Valid"/>
    <s v="Complete"/>
    <n v="4842179.1619999995"/>
    <n v="12553041.036323847"/>
    <s v="Normal"/>
    <x v="0"/>
  </r>
  <r>
    <s v="2311-MSS-405-00109"/>
    <s v="MSS"/>
    <x v="6"/>
    <x v="3"/>
    <x v="0"/>
    <n v="4297355"/>
    <n v="2.0899999999999998E-2"/>
    <n v="89814.720000000001"/>
    <s v="9315 Cedar Ave, Suite 10"/>
    <s v="T8X 7G8"/>
    <s v="Daniel White"/>
    <n v="4037049"/>
    <d v="2020-11-28T00:00:00"/>
    <s v="Mississauga"/>
    <n v="2.0899999999999998E-2"/>
    <n v="1"/>
    <s v="Business properties and retail"/>
    <s v="Valid"/>
    <s v="Match"/>
    <s v="Valid"/>
    <s v="Unique"/>
    <s v="Valid"/>
    <s v="Valid"/>
    <s v="Valid"/>
    <s v="Complete"/>
    <n v="4842179.1619999995"/>
    <n v="12553041.036323847"/>
    <s v="Normal"/>
    <x v="0"/>
  </r>
  <r>
    <s v="2140-KIN-557-00111"/>
    <s v="KIN"/>
    <x v="10"/>
    <x v="3"/>
    <x v="2"/>
    <n v="1830308"/>
    <n v="2.0299999999999999E-2"/>
    <n v="37305.25"/>
    <s v="4384 Victoria Rd"/>
    <s v="A4P 3B1"/>
    <s v="Aisha Thomas"/>
    <n v="2086781"/>
    <d v="2022-06-27T00:00:00"/>
    <s v="Kingston"/>
    <n v="2.0299999999999999E-2"/>
    <n v="1"/>
    <s v="Business properties and retail"/>
    <s v="Valid"/>
    <s v="Match"/>
    <s v="Mismatch"/>
    <s v="Unique"/>
    <s v="Valid"/>
    <s v="Valid"/>
    <s v="Valid"/>
    <s v="Complete"/>
    <n v="4842179.1619999995"/>
    <n v="12553041.036323847"/>
    <s v="Normal"/>
    <x v="1"/>
  </r>
  <r>
    <s v="2338-OTT-236-00112"/>
    <s v="OTT"/>
    <x v="9"/>
    <x v="1"/>
    <x v="0"/>
    <n v="5782221"/>
    <n v="1.8100000000000002E-2"/>
    <n v="104658.2"/>
    <s v="7844 Queen St"/>
    <s v="P6Y 7Y3"/>
    <s v="David Lee"/>
    <n v="6108117"/>
    <d v="2023-12-12T00:00:00"/>
    <s v="Ottawa"/>
    <n v="1.8100000000000002E-2"/>
    <n v="1"/>
    <s v="Manufacturing and warehousing"/>
    <s v="Valid"/>
    <s v="Mismatch"/>
    <s v="Valid"/>
    <s v="Unique"/>
    <s v="Valid"/>
    <s v="Valid"/>
    <s v="Valid"/>
    <s v="Complete"/>
    <n v="4842179.1619999995"/>
    <n v="12553041.036323847"/>
    <s v="Normal"/>
    <x v="1"/>
  </r>
  <r>
    <s v="2180-KIN-617-00113"/>
    <s v="KIN"/>
    <x v="10"/>
    <x v="0"/>
    <x v="2"/>
    <n v="425724"/>
    <n v="1.23E-2"/>
    <n v="5236.41"/>
    <s v="3322 Cedar Ave"/>
    <s v="H5X 7E3"/>
    <s v="Chloe Brown"/>
    <n v="517089"/>
    <d v="2023-12-30T00:00:00"/>
    <s v="Kingston"/>
    <n v="1.23E-2"/>
    <n v="1"/>
    <s v="Single-family and multi-unit homes"/>
    <s v="Valid"/>
    <s v="Match"/>
    <s v="Valid"/>
    <s v="Unique"/>
    <s v="Valid"/>
    <s v="Valid"/>
    <s v="Valid"/>
    <s v="Complete"/>
    <n v="4842179.1619999995"/>
    <n v="12553041.036323847"/>
    <s v="Normal"/>
    <x v="0"/>
  </r>
  <r>
    <s v="2268-TOR-677-00114"/>
    <s v="TOR"/>
    <x v="1"/>
    <x v="2"/>
    <x v="1"/>
    <n v="1767816"/>
    <n v="9.4999999999999998E-3"/>
    <n v="16794.25"/>
    <s v="955 Elm St"/>
    <s v="M0R 4A3"/>
    <s v="Mary Thomas"/>
    <n v="1804207"/>
    <d v="2019-09-19T00:00:00"/>
    <s v="Toronto"/>
    <n v="9.4999999999999998E-3"/>
    <n v="1"/>
    <s v="Farms and rural properties"/>
    <s v="Valid"/>
    <s v="Match"/>
    <s v="Valid"/>
    <s v="Unique"/>
    <s v="Valid"/>
    <s v="Valid"/>
    <s v="Valid"/>
    <s v="Complete"/>
    <n v="4842179.1619999995"/>
    <n v="12553041.036323847"/>
    <s v="Normal"/>
    <x v="0"/>
  </r>
  <r>
    <s v="2170-OSH-132-00115"/>
    <s v="OSH"/>
    <x v="9"/>
    <x v="0"/>
    <x v="2"/>
    <n v="1378636"/>
    <n v="1.24E-2"/>
    <n v="17095.09"/>
    <s v="4713 Wellington St, Unit 25"/>
    <s v="S5R 7R6"/>
    <s v="Ella Johnson"/>
    <n v="1556117"/>
    <d v="2022-11-25T00:00:00"/>
    <s v="Oshawa"/>
    <n v="1.24E-2"/>
    <n v="1"/>
    <s v="Single-family and multi-unit homes"/>
    <s v="Valid"/>
    <s v="Mismatch"/>
    <s v="Valid"/>
    <s v="Unique"/>
    <s v="Valid"/>
    <s v="Valid"/>
    <s v="Valid"/>
    <s v="Complete"/>
    <n v="4842179.1619999995"/>
    <n v="12553041.036323847"/>
    <s v="Normal"/>
    <x v="1"/>
  </r>
  <r>
    <s v="2438-OTT-954-00116"/>
    <s v="OTT"/>
    <x v="0"/>
    <x v="3"/>
    <x v="3"/>
    <n v="2671093"/>
    <n v="2.01E-2"/>
    <n v="53688.97"/>
    <s v="66 Main St"/>
    <s v="T8S 8R3"/>
    <s v="Noah Johnson"/>
    <n v="2661684"/>
    <d v="2025-01-24T00:00:00"/>
    <s v="Ottawa"/>
    <n v="2.01E-2"/>
    <n v="1"/>
    <s v="Business properties and retail"/>
    <s v="Valid"/>
    <s v="Match"/>
    <s v="Valid"/>
    <s v="Unique"/>
    <s v="Valid"/>
    <s v="Valid"/>
    <s v="Valid"/>
    <s v="Complete"/>
    <n v="4842179.1619999995"/>
    <n v="12553041.036323847"/>
    <s v="Normal"/>
    <x v="0"/>
  </r>
  <r>
    <s v="2412-OTT-346-00117"/>
    <s v="OTT"/>
    <x v="0"/>
    <x v="0"/>
    <x v="3"/>
    <n v="860356"/>
    <n v="1.21E-2"/>
    <n v="10410.31"/>
    <s v="3386 King St, Unit 15"/>
    <s v="B3B 6T3"/>
    <s v="Mary Johnson"/>
    <n v="926056"/>
    <d v="2022-08-16T00:00:00"/>
    <s v="Ottawa"/>
    <n v="1.21E-2"/>
    <n v="1"/>
    <s v="Single-family and multi-unit homes"/>
    <s v="Valid"/>
    <s v="Match"/>
    <s v="Valid"/>
    <s v="Unique"/>
    <s v="Valid"/>
    <s v="Valid"/>
    <s v="Valid"/>
    <s v="Complete"/>
    <n v="4842179.1619999995"/>
    <n v="12553041.036323847"/>
    <s v="Normal"/>
    <x v="0"/>
  </r>
  <r>
    <s v="2396-LON-938-00118"/>
    <s v="LON"/>
    <x v="4"/>
    <x v="4"/>
    <x v="0"/>
    <n v="7956412"/>
    <n v="1.47E-2"/>
    <n v="116959.26"/>
    <s v="5263 Maple Ave"/>
    <s v="G8K 6M4"/>
    <s v="Aisha Nguyen"/>
    <n v="9050916"/>
    <d v="2023-02-12T00:00:00"/>
    <s v="London"/>
    <n v="1.47E-2"/>
    <n v="1"/>
    <s v="Apartment buildings and multi-tenant residential"/>
    <s v="Valid"/>
    <s v="Match"/>
    <s v="Valid"/>
    <s v="Unique"/>
    <s v="Valid"/>
    <s v="Valid"/>
    <s v="Valid"/>
    <s v="Complete"/>
    <n v="4842179.1619999995"/>
    <n v="12553041.036323847"/>
    <s v="Normal"/>
    <x v="0"/>
  </r>
  <r>
    <s v="2395-MSS-490-00119"/>
    <s v="MSS"/>
    <x v="6"/>
    <x v="0"/>
    <x v="0"/>
    <n v="1250873"/>
    <n v="1.29E-2"/>
    <n v="16136.26"/>
    <s v="8602 Victoria Rd"/>
    <s v="S2M 6H8"/>
    <s v="Grace Taylor"/>
    <n v="1501222"/>
    <d v="2020-10-22T00:00:00"/>
    <s v="Mississauga"/>
    <n v="1.29E-2"/>
    <n v="1"/>
    <s v="Single-family and multi-unit homes"/>
    <s v="Valid"/>
    <s v="Match"/>
    <s v="Valid"/>
    <s v="Unique"/>
    <s v="Valid"/>
    <s v="Valid"/>
    <s v="Valid"/>
    <s v="Complete"/>
    <n v="4842179.1619999995"/>
    <n v="12553041.036323847"/>
    <s v="Normal"/>
    <x v="0"/>
  </r>
  <r>
    <s v="2481-MSS-642-00120"/>
    <s v="MSS"/>
    <x v="6"/>
    <x v="0"/>
    <x v="3"/>
    <n v="1314994"/>
    <n v="1.29E-2"/>
    <n v="16963.419999999998"/>
    <s v="2206 Wellington St, Unit 11"/>
    <s v="C7P 1Y3"/>
    <s v="Sophia Nguyen"/>
    <n v="1461931"/>
    <d v="2021-03-22T00:00:00"/>
    <s v="Mississauga"/>
    <n v="1.29E-2"/>
    <n v="2"/>
    <s v="Single-family and multi-unit homes"/>
    <s v="Valid"/>
    <s v="Match"/>
    <s v="Valid"/>
    <s v="Duplicate"/>
    <s v="Valid"/>
    <s v="Valid"/>
    <s v="Valid"/>
    <s v="Complete"/>
    <n v="4842179.1619999995"/>
    <n v="12553041.036323847"/>
    <s v="Normal"/>
    <x v="1"/>
  </r>
  <r>
    <s v="2481-MSS-642-00120"/>
    <s v="BRN"/>
    <x v="3"/>
    <x v="1"/>
    <x v="1"/>
    <n v="7484660"/>
    <n v="1.8599999999999998E-2"/>
    <n v="139214.68"/>
    <s v="3099 Wellington St"/>
    <s v="S6K 2R6"/>
    <s v="David Thomas"/>
    <n v="8374310"/>
    <d v="2024-10-17T00:00:00"/>
    <s v="Brampton"/>
    <n v="1.8599999999999998E-2"/>
    <n v="2"/>
    <s v="Manufacturing and warehousing"/>
    <s v="Valid"/>
    <s v="Match"/>
    <s v="Valid"/>
    <s v="Duplicate"/>
    <s v="Valid"/>
    <s v="Valid"/>
    <s v="Valid"/>
    <s v="Complete"/>
    <n v="4842179.1619999995"/>
    <n v="12553041.036323847"/>
    <s v="Normal"/>
    <x v="1"/>
  </r>
  <r>
    <s v="2252-OTT-410-00121"/>
    <s v="OTT"/>
    <x v="0"/>
    <x v="6"/>
    <x v="1"/>
    <n v="2500765"/>
    <n v="2.01E-2"/>
    <n v="50265.38"/>
    <s v="261 Maple Ave"/>
    <s v="E7K 9J6"/>
    <s v="Lee Developments Inc."/>
    <n v="2929471"/>
    <d v="2023-04-09T00:00:00"/>
    <s v="Ottawa"/>
    <m/>
    <n v="1"/>
    <m/>
    <s v="Valid"/>
    <s v="Match"/>
    <s v="Mismatch"/>
    <s v="Unique"/>
    <s v="Valid"/>
    <s v="Invalid"/>
    <s v="Valid"/>
    <s v="Complete"/>
    <n v="4842179.1619999995"/>
    <n v="12553041.036323847"/>
    <s v="Normal"/>
    <x v="1"/>
  </r>
  <r>
    <s v="2356-MSS-625-00122"/>
    <s v="MSS"/>
    <x v="6"/>
    <x v="4"/>
    <x v="0"/>
    <n v="5150593"/>
    <n v="1.52E-2"/>
    <n v="78289.009999999995"/>
    <s v="8157 Lakeshore Rd, Apt 16"/>
    <s v="N3P 5S0"/>
    <s v="Grace Wilson"/>
    <n v="4898590"/>
    <d v="2021-06-18T00:00:00"/>
    <s v="Mississauga"/>
    <n v="1.52E-2"/>
    <n v="1"/>
    <s v="Apartment buildings and multi-tenant residential"/>
    <s v="Valid"/>
    <s v="Match"/>
    <s v="Valid"/>
    <s v="Unique"/>
    <s v="Valid"/>
    <s v="Valid"/>
    <s v="Valid"/>
    <s v="Complete"/>
    <n v="4842179.1619999995"/>
    <n v="12553041.036323847"/>
    <s v="Normal"/>
    <x v="0"/>
  </r>
  <r>
    <s v="2435-OSH-437-00123"/>
    <s v="OSH"/>
    <x v="2"/>
    <x v="4"/>
    <x v="3"/>
    <n v="85874072"/>
    <n v="1.47E-2"/>
    <n v="1262348.8600000001"/>
    <s v="3778 Wellington St"/>
    <s v="K7Y 5L7"/>
    <s v="Nguyen Investments Inc."/>
    <n v="5336452"/>
    <d v="2025-02-09T00:00:00"/>
    <s v="Oshawa"/>
    <n v="1.47E-2"/>
    <n v="1"/>
    <s v="Apartment buildings and multi-tenant residential"/>
    <s v="Valid"/>
    <s v="Match"/>
    <s v="Valid"/>
    <s v="Unique"/>
    <s v="Valid"/>
    <s v="Valid"/>
    <s v="Valid"/>
    <s v="Complete"/>
    <n v="4842179.1619999995"/>
    <n v="12553041.036323847"/>
    <s v="Outlier"/>
    <x v="1"/>
  </r>
  <r>
    <s v="2389-LON-506-00189"/>
    <s v="KIN"/>
    <x v="10"/>
    <x v="3"/>
    <x v="1"/>
    <n v="3435195"/>
    <n v="2.0299999999999999E-2"/>
    <n v="69734.460000000006"/>
    <s v="8892 Park Ave"/>
    <s v="X0C 0A6"/>
    <s v="Grace Brown"/>
    <n v="3941918"/>
    <d v="2019-02-07T00:00:00"/>
    <s v="Kingston"/>
    <n v="2.0299999999999999E-2"/>
    <n v="2"/>
    <s v="Business properties and retail"/>
    <s v="Valid"/>
    <s v="Match"/>
    <s v="Valid"/>
    <s v="Duplicate"/>
    <s v="Valid"/>
    <s v="Valid"/>
    <s v="Valid"/>
    <s v="Complete"/>
    <n v="4842179.1619999995"/>
    <n v="12553041.036323847"/>
    <s v="Normal"/>
    <x v="1"/>
  </r>
  <r>
    <s v="2389-LON-506-00189"/>
    <s v="LON"/>
    <x v="4"/>
    <x v="2"/>
    <x v="0"/>
    <n v="2275024"/>
    <n v="9.4000000000000004E-3"/>
    <n v="21385.23"/>
    <s v="9586 King St, Apt 27"/>
    <s v="P8M 4E7"/>
    <s v="James Nguyen"/>
    <n v="2306415"/>
    <d v="2021-07-21T00:00:00"/>
    <s v="London"/>
    <n v="9.4000000000000004E-3"/>
    <n v="2"/>
    <s v="Farms and rural properties"/>
    <s v="Valid"/>
    <s v="Match"/>
    <s v="Valid"/>
    <s v="Duplicate"/>
    <s v="Valid"/>
    <s v="Valid"/>
    <s v="Valid"/>
    <s v="Complete"/>
    <n v="4842179.1619999995"/>
    <n v="12553041.036323847"/>
    <s v="Normal"/>
    <x v="1"/>
  </r>
  <r>
    <s v="2489-LON-753-00125"/>
    <s v="LON"/>
    <x v="4"/>
    <x v="4"/>
    <x v="3"/>
    <n v="5767173"/>
    <n v="1.47E-2"/>
    <n v="84777.44"/>
    <s v="7926 Park Ave"/>
    <s v="INVALID"/>
    <s v="James Lee"/>
    <n v="7163508"/>
    <d v="2021-02-05T00:00:00"/>
    <s v="London"/>
    <n v="1.47E-2"/>
    <n v="1"/>
    <s v="Apartment buildings and multi-tenant residential"/>
    <s v="Valid"/>
    <s v="Match"/>
    <s v="Valid"/>
    <s v="Unique"/>
    <s v="Invalid"/>
    <s v="Valid"/>
    <s v="Valid"/>
    <s v="Complete"/>
    <n v="4842179.1619999995"/>
    <n v="12553041.036323847"/>
    <s v="Normal"/>
    <x v="1"/>
  </r>
  <r>
    <s v="2222-OSH-636-00126"/>
    <s v="OSH"/>
    <x v="2"/>
    <x v="2"/>
    <x v="1"/>
    <n v="776640"/>
    <n v="9.4000000000000004E-3"/>
    <n v="7300.42"/>
    <s v="2449 Maple Ave, Apt 9"/>
    <s v="P4R 1P6"/>
    <s v=""/>
    <n v="760369"/>
    <d v="2019-11-27T00:00:00"/>
    <s v="Oshawa"/>
    <n v="9.4000000000000004E-3"/>
    <n v="1"/>
    <s v="Farms and rural properties"/>
    <s v="Valid"/>
    <s v="Match"/>
    <s v="Valid"/>
    <s v="Unique"/>
    <s v="Valid"/>
    <s v="Valid"/>
    <s v="Valid"/>
    <s v="Complete"/>
    <n v="4842179.1619999995"/>
    <n v="12553041.036323847"/>
    <s v="Normal"/>
    <x v="0"/>
  </r>
  <r>
    <s v="2480-TOR-587-00127"/>
    <s v="TOR"/>
    <x v="1"/>
    <x v="0"/>
    <x v="3"/>
    <n v="687884"/>
    <n v="1.2500000000000001E-2"/>
    <n v="8598.5499999999993"/>
    <s v="929 Park Ave, Unit 3"/>
    <s v="V6N 9E8"/>
    <s v="Williams Properties Inc."/>
    <n v="836086"/>
    <d v="2024-11-18T00:00:00"/>
    <s v="Toronto"/>
    <n v="1.2500000000000001E-2"/>
    <n v="1"/>
    <s v="Single-family and multi-unit homes"/>
    <s v="Valid"/>
    <s v="Match"/>
    <s v="Valid"/>
    <s v="Unique"/>
    <s v="Valid"/>
    <s v="Valid"/>
    <s v="Valid"/>
    <s v="Complete"/>
    <n v="4842179.1619999995"/>
    <n v="12553041.036323847"/>
    <s v="Normal"/>
    <x v="0"/>
  </r>
  <r>
    <s v="2319-GUE-800-00128"/>
    <s v="GUE"/>
    <x v="5"/>
    <x v="2"/>
    <x v="0"/>
    <n v="573553"/>
    <n v="9.4999999999999998E-3"/>
    <n v="5448.75"/>
    <s v="4603 Elm St"/>
    <s v="B2N 0J9"/>
    <s v="Sophia Clark"/>
    <n v="531642"/>
    <d v="2020-11-28T00:00:00"/>
    <s v="Guelph"/>
    <n v="9.4999999999999998E-3"/>
    <n v="1"/>
    <s v="Farms and rural properties"/>
    <s v="Valid"/>
    <s v="Match"/>
    <s v="Valid"/>
    <s v="Unique"/>
    <s v="Valid"/>
    <s v="Valid"/>
    <s v="Valid"/>
    <s v="Complete"/>
    <n v="4842179.1619999995"/>
    <n v="12553041.036323847"/>
    <s v="Normal"/>
    <x v="0"/>
  </r>
  <r>
    <s v="2479-GUE-439-00129"/>
    <s v="GUE"/>
    <x v="5"/>
    <x v="3"/>
    <x v="3"/>
    <n v="3243891"/>
    <n v="2.0500000000000001E-2"/>
    <n v="66499.77"/>
    <s v="6298 Queen St"/>
    <s v="C8P 0E6"/>
    <s v="David Anderson"/>
    <n v="3606587"/>
    <d v="2024-06-11T00:00:00"/>
    <s v="Guelph"/>
    <n v="2.0500000000000001E-2"/>
    <n v="1"/>
    <s v="Business properties and retail"/>
    <s v="Valid"/>
    <s v="Match"/>
    <s v="Valid"/>
    <s v="Unique"/>
    <s v="Valid"/>
    <s v="Valid"/>
    <s v="Valid"/>
    <s v="Complete"/>
    <n v="4842179.1619999995"/>
    <n v="12553041.036323847"/>
    <s v="Normal"/>
    <x v="0"/>
  </r>
  <r>
    <s v="2344-GUE-902-00130"/>
    <s v="GUE"/>
    <x v="5"/>
    <x v="2"/>
    <x v="0"/>
    <n v="493922"/>
    <n v="9.4999999999999998E-3"/>
    <n v="4692.26"/>
    <s v="7391 Lakeshore Rd, Apt 13"/>
    <s v="S2R 1M3"/>
    <s v="David Taylor"/>
    <n v="471190"/>
    <d v="2023-12-28T00:00:00"/>
    <s v="Guelph"/>
    <n v="9.4999999999999998E-3"/>
    <n v="1"/>
    <s v="Farms and rural properties"/>
    <s v="Valid"/>
    <s v="Match"/>
    <s v="Valid"/>
    <s v="Unique"/>
    <s v="Valid"/>
    <s v="Valid"/>
    <s v="Valid"/>
    <s v="Complete"/>
    <n v="4842179.1619999995"/>
    <n v="12553041.036323847"/>
    <s v="Normal"/>
    <x v="0"/>
  </r>
  <r>
    <s v="2321-HAM-105-00131"/>
    <s v="HAM"/>
    <x v="7"/>
    <x v="2"/>
    <x v="0"/>
    <n v="1368818"/>
    <n v="9.7999999999999997E-3"/>
    <n v="13414.42"/>
    <s v="5060 Lakeshore Rd"/>
    <s v="L1G 1H6"/>
    <s v="Ella Lee"/>
    <n v="1427425"/>
    <d v="2020-02-23T00:00:00"/>
    <s v="Hamilton"/>
    <n v="9.7999999999999997E-3"/>
    <n v="1"/>
    <s v="Farms and rural properties"/>
    <s v="Valid"/>
    <s v="Match"/>
    <s v="Valid"/>
    <s v="Unique"/>
    <s v="Valid"/>
    <s v="Valid"/>
    <s v="Valid"/>
    <s v="Complete"/>
    <n v="4842179.1619999995"/>
    <n v="12553041.036323847"/>
    <s v="Normal"/>
    <x v="0"/>
  </r>
  <r>
    <s v="2151-OTT-984-00132"/>
    <s v="OTT"/>
    <x v="0"/>
    <x v="1"/>
    <x v="2"/>
    <n v="5641028"/>
    <n v="1.8100000000000002E-2"/>
    <n v="102102.61"/>
    <s v="6321 Main St"/>
    <s v="R1Y 3X2"/>
    <s v="Aisha Johnson"/>
    <n v="5607868"/>
    <d v="2022-01-04T00:00:00"/>
    <s v="Ottawa"/>
    <n v="1.8100000000000002E-2"/>
    <n v="1"/>
    <s v="Manufacturing and warehousing"/>
    <s v="Valid"/>
    <s v="Match"/>
    <s v="Valid"/>
    <s v="Unique"/>
    <s v="Valid"/>
    <s v="Valid"/>
    <s v="Valid"/>
    <s v="Complete"/>
    <n v="4842179.1619999995"/>
    <n v="12553041.036323847"/>
    <s v="Normal"/>
    <x v="0"/>
  </r>
  <r>
    <s v="2145-MSS-531-00133"/>
    <s v="MSS"/>
    <x v="6"/>
    <x v="7"/>
    <x v="2"/>
    <n v="1544948"/>
    <n v="2.0899999999999998E-2"/>
    <n v="32289.41"/>
    <s v="4921 Lakeshore Rd"/>
    <s v="P4K 7J7"/>
    <s v="Fatima Smith"/>
    <n v="1903512"/>
    <d v="2022-09-22T00:00:00"/>
    <s v="Mississauga"/>
    <m/>
    <n v="1"/>
    <m/>
    <s v="Valid"/>
    <s v="Match"/>
    <s v="Mismatch"/>
    <s v="Unique"/>
    <s v="Valid"/>
    <s v="Invalid"/>
    <s v="Valid"/>
    <s v="Complete"/>
    <n v="4842179.1619999995"/>
    <n v="12553041.036323847"/>
    <s v="Normal"/>
    <x v="1"/>
  </r>
  <r>
    <s v="2365-GUE-935-00134"/>
    <s v="GUE"/>
    <x v="5"/>
    <x v="2"/>
    <x v="0"/>
    <n v="1570027"/>
    <n v="9.4999999999999998E-3"/>
    <n v="14915.26"/>
    <s v="9748 Queen St"/>
    <s v="123456"/>
    <s v="Chloe Patel"/>
    <n v="1842727"/>
    <d v="2021-10-29T00:00:00"/>
    <s v="Guelph"/>
    <n v="9.4999999999999998E-3"/>
    <n v="1"/>
    <s v="Farms and rural properties"/>
    <s v="Valid"/>
    <s v="Match"/>
    <s v="Valid"/>
    <s v="Unique"/>
    <s v="Invalid"/>
    <s v="Valid"/>
    <s v="Valid"/>
    <s v="Complete"/>
    <n v="4842179.1619999995"/>
    <n v="12553041.036323847"/>
    <s v="Normal"/>
    <x v="1"/>
  </r>
  <r>
    <s v="2482-BRN-304-00135"/>
    <s v="BRN"/>
    <x v="3"/>
    <x v="1"/>
    <x v="3"/>
    <n v="4018669"/>
    <n v="1.8599999999999998E-2"/>
    <n v="74747.240000000005"/>
    <s v="9713 Elm St, Apt 1"/>
    <s v="T3T 4C6"/>
    <s v="Michael Nguyen"/>
    <n v="4042747"/>
    <d v="2022-06-02T00:00:00"/>
    <s v="Brampton"/>
    <n v="1.8599999999999998E-2"/>
    <n v="1"/>
    <s v="Manufacturing and warehousing"/>
    <s v="Valid"/>
    <s v="Match"/>
    <s v="Valid"/>
    <s v="Unique"/>
    <s v="Valid"/>
    <s v="Valid"/>
    <s v="Valid"/>
    <s v="Complete"/>
    <n v="4842179.1619999995"/>
    <n v="12553041.036323847"/>
    <s v="Normal"/>
    <x v="0"/>
  </r>
  <r>
    <s v="2486-HAM-590-00136"/>
    <s v="HAM"/>
    <x v="8"/>
    <x v="2"/>
    <x v="3"/>
    <n v="676022"/>
    <n v="9.7999999999999997E-3"/>
    <n v="6625.02"/>
    <s v="9549 Wellington St"/>
    <s v="S8B 5Y9"/>
    <s v="David Brown"/>
    <n v="790360"/>
    <d v="2024-09-08T00:00:00"/>
    <s v="Hamilton"/>
    <n v="9.7999999999999997E-3"/>
    <n v="1"/>
    <s v="Farms and rural properties"/>
    <s v="Valid"/>
    <s v="Mismatch"/>
    <s v="Valid"/>
    <s v="Unique"/>
    <s v="Valid"/>
    <s v="Valid"/>
    <s v="Valid"/>
    <s v="Complete"/>
    <n v="4842179.1619999995"/>
    <n v="12553041.036323847"/>
    <s v="Normal"/>
    <x v="1"/>
  </r>
  <r>
    <s v="2192-KIN-793-00137"/>
    <s v="KIN"/>
    <x v="10"/>
    <x v="3"/>
    <x v="2"/>
    <n v="2794839"/>
    <n v="2.0299999999999999E-2"/>
    <n v="56735.23"/>
    <s v="6557 Victoria Rd"/>
    <s v="S1A 1L3"/>
    <s v="Ethan Lee"/>
    <n v="3083214"/>
    <d v="2021-06-24T00:00:00"/>
    <s v="Kingston"/>
    <n v="2.0299999999999999E-2"/>
    <n v="1"/>
    <s v="Business properties and retail"/>
    <s v="Valid"/>
    <s v="Match"/>
    <s v="Valid"/>
    <s v="Unique"/>
    <s v="Valid"/>
    <s v="Valid"/>
    <s v="Valid"/>
    <s v="Complete"/>
    <n v="4842179.1619999995"/>
    <n v="12553041.036323847"/>
    <s v="Normal"/>
    <x v="0"/>
  </r>
  <r>
    <s v="2496-MSS-702-00138"/>
    <s v="MSS"/>
    <x v="6"/>
    <x v="1"/>
    <x v="3"/>
    <n v="4660688"/>
    <n v="1.89E-2"/>
    <n v="88087"/>
    <s v="8209 Queen St"/>
    <s v="A7E 4S1"/>
    <s v="Michael Anderson"/>
    <n v="4703387"/>
    <d v="2023-07-22T00:00:00"/>
    <s v="Mississauga"/>
    <n v="1.89E-2"/>
    <n v="1"/>
    <s v="Manufacturing and warehousing"/>
    <s v="Valid"/>
    <s v="Match"/>
    <s v="Valid"/>
    <s v="Unique"/>
    <s v="Valid"/>
    <s v="Valid"/>
    <s v="Valid"/>
    <s v="Complete"/>
    <n v="4842179.1619999995"/>
    <n v="12553041.036323847"/>
    <s v="Normal"/>
    <x v="0"/>
  </r>
  <r>
    <s v="2422-LON-548-00139"/>
    <s v="LON"/>
    <x v="4"/>
    <x v="4"/>
    <x v="3"/>
    <n v="5526557"/>
    <n v="1.47E-2"/>
    <n v="81240.39"/>
    <s v="7422 Victoria Rd, Unit 26"/>
    <s v="123456"/>
    <s v="Ella Johnson"/>
    <n v="5614133"/>
    <d v="2023-05-24T00:00:00"/>
    <s v="London"/>
    <n v="1.47E-2"/>
    <n v="1"/>
    <s v="Apartment buildings and multi-tenant residential"/>
    <s v="Valid"/>
    <s v="Match"/>
    <s v="Valid"/>
    <s v="Unique"/>
    <s v="Invalid"/>
    <s v="Valid"/>
    <s v="Valid"/>
    <s v="Complete"/>
    <n v="4842179.1619999995"/>
    <n v="12553041.036323847"/>
    <s v="Normal"/>
    <x v="1"/>
  </r>
  <r>
    <s v="2433-MSS-755-00140"/>
    <s v="ZZZ"/>
    <x v="0"/>
    <x v="3"/>
    <x v="3"/>
    <n v="3049062"/>
    <n v="2.0899999999999998E-2"/>
    <n v="63725.4"/>
    <s v="7090 Wellington St, Apt 29"/>
    <s v="J7S 6A3"/>
    <s v="David Patel"/>
    <n v="2852743"/>
    <d v="2024-01-05T00:00:00"/>
    <m/>
    <m/>
    <n v="1"/>
    <s v="Business properties and retail"/>
    <s v="Invalid"/>
    <s v="Mismatch"/>
    <s v="Mismatch"/>
    <s v="Unique"/>
    <s v="Valid"/>
    <s v="Valid"/>
    <s v="Valid"/>
    <s v="Complete"/>
    <n v="4842179.1619999995"/>
    <n v="12553041.036323847"/>
    <s v="Normal"/>
    <x v="1"/>
  </r>
  <r>
    <s v="2324-HAM-368-00141"/>
    <s v="HAM"/>
    <x v="7"/>
    <x v="1"/>
    <x v="0"/>
    <n v="3016874"/>
    <n v="1.8800000000000001E-2"/>
    <n v="56717.23"/>
    <s v="8029 Elm St"/>
    <s v="N9R 9R9"/>
    <s v="Noah Jackson"/>
    <n v="3198644"/>
    <d v="2020-12-19T00:00:00"/>
    <s v="Hamilton"/>
    <n v="1.8800000000000001E-2"/>
    <n v="1"/>
    <s v="Manufacturing and warehousing"/>
    <s v="Valid"/>
    <s v="Match"/>
    <s v="Valid"/>
    <s v="Unique"/>
    <s v="Valid"/>
    <s v="Valid"/>
    <s v="Valid"/>
    <s v="Complete"/>
    <n v="4842179.1619999995"/>
    <n v="12553041.036323847"/>
    <s v="Normal"/>
    <x v="0"/>
  </r>
  <r>
    <s v="2150-WDR-220-00142"/>
    <s v="WDR"/>
    <x v="8"/>
    <x v="4"/>
    <x v="2"/>
    <n v="9152377"/>
    <n v="1.4999999999999999E-2"/>
    <n v="137285.65"/>
    <s v="3918 Church St, Suite 23"/>
    <s v="G8R 6G9"/>
    <s v="Aisha Martin"/>
    <n v="10272862"/>
    <d v="2020-12-10T00:00:00"/>
    <s v="Windsor"/>
    <n v="1.4999999999999999E-2"/>
    <n v="1"/>
    <s v="Apartment buildings and multi-tenant residential"/>
    <s v="Valid"/>
    <s v="Match"/>
    <s v="Valid"/>
    <s v="Unique"/>
    <s v="Valid"/>
    <s v="Valid"/>
    <s v="Valid"/>
    <s v="Complete"/>
    <n v="4842179.1619999995"/>
    <n v="12553041.036323847"/>
    <s v="Normal"/>
    <x v="0"/>
  </r>
  <r>
    <s v="2433-OSH-422-00143"/>
    <s v="T0R"/>
    <x v="1"/>
    <x v="3"/>
    <x v="3"/>
    <n v="1910183"/>
    <n v="2.0400000000000001E-2"/>
    <n v="38967.730000000003"/>
    <s v="7399 Cedar Ave, Suite 1"/>
    <s v="V2J 6Y8"/>
    <s v="Liam Nguyen"/>
    <n v="2047915"/>
    <d v="2024-12-25T00:00:00"/>
    <m/>
    <m/>
    <n v="1"/>
    <s v="Business properties and retail"/>
    <s v="Invalid"/>
    <s v="Mismatch"/>
    <s v="Mismatch"/>
    <s v="Unique"/>
    <s v="Valid"/>
    <s v="Valid"/>
    <s v="Valid"/>
    <s v="Complete"/>
    <n v="4842179.1619999995"/>
    <n v="12553041.036323847"/>
    <s v="Normal"/>
    <x v="1"/>
  </r>
  <r>
    <s v="2213-MSS-914-00144"/>
    <s v="MSS"/>
    <x v="6"/>
    <x v="2"/>
    <x v="1"/>
    <n v="704400"/>
    <n v="9.9000000000000008E-3"/>
    <n v="6973.56"/>
    <s v="3623 Church St, Unit 18"/>
    <s v="M2T 9V8"/>
    <s v="Sarah Taylor"/>
    <n v="825056"/>
    <d v="2023-02-11T00:00:00"/>
    <s v="Mississauga"/>
    <n v="9.9000000000000008E-3"/>
    <n v="1"/>
    <s v="Farms and rural properties"/>
    <s v="Valid"/>
    <s v="Match"/>
    <s v="Valid"/>
    <s v="Unique"/>
    <s v="Valid"/>
    <s v="Valid"/>
    <s v="Valid"/>
    <s v="Complete"/>
    <n v="4842179.1619999995"/>
    <n v="12553041.036323847"/>
    <s v="Normal"/>
    <x v="0"/>
  </r>
  <r>
    <s v="2464-OSH-204-00145"/>
    <s v="OSH"/>
    <x v="2"/>
    <x v="0"/>
    <x v="3"/>
    <n v="805738"/>
    <n v="1.24E-2"/>
    <n v="9991.15"/>
    <s v="4065 Church St"/>
    <s v="B7L 5C7"/>
    <s v="Brown Properties Inc."/>
    <n v="784352"/>
    <d v="2025-02-19T00:00:00"/>
    <s v="Oshawa"/>
    <n v="1.24E-2"/>
    <n v="1"/>
    <s v="Single-family and multi-unit homes"/>
    <s v="Valid"/>
    <s v="Match"/>
    <s v="Valid"/>
    <s v="Unique"/>
    <s v="Valid"/>
    <s v="Valid"/>
    <s v="Valid"/>
    <s v="Complete"/>
    <n v="4842179.1619999995"/>
    <n v="12553041.036323847"/>
    <s v="Normal"/>
    <x v="0"/>
  </r>
  <r>
    <s v="2427-GUE-903-00146"/>
    <s v="GUE"/>
    <x v="5"/>
    <x v="1"/>
    <x v="3"/>
    <n v="2818039"/>
    <n v="1.8499999999999999E-2"/>
    <n v="52133.72"/>
    <s v="3395 Maple Ave"/>
    <s v="P8L 9Y2"/>
    <s v="Fatima Taylor"/>
    <n v="3101132"/>
    <d v="2023-11-20T00:00:00"/>
    <s v="Guelph"/>
    <n v="1.8499999999999999E-2"/>
    <n v="1"/>
    <s v="Manufacturing and warehousing"/>
    <s v="Valid"/>
    <s v="Match"/>
    <s v="Valid"/>
    <s v="Unique"/>
    <s v="Valid"/>
    <s v="Valid"/>
    <s v="Valid"/>
    <s v="Complete"/>
    <n v="4842179.1619999995"/>
    <n v="12553041.036323847"/>
    <s v="Normal"/>
    <x v="0"/>
  </r>
  <r>
    <s v="2445-OTT-987-00147"/>
    <s v="OTT"/>
    <x v="0"/>
    <x v="3"/>
    <x v="3"/>
    <n v="4617770"/>
    <n v="2.01E-2"/>
    <n v="92817.18"/>
    <s v="2088 Queen St, Apt 11"/>
    <s v="K6V 2L6"/>
    <s v="David Nguyen"/>
    <n v="5440239"/>
    <d v="2021-07-10T00:00:00"/>
    <s v="Ottawa"/>
    <n v="2.01E-2"/>
    <n v="1"/>
    <s v="Business properties and retail"/>
    <s v="Valid"/>
    <s v="Match"/>
    <s v="Valid"/>
    <s v="Unique"/>
    <s v="Valid"/>
    <s v="Valid"/>
    <s v="Valid"/>
    <s v="Complete"/>
    <n v="4842179.1619999995"/>
    <n v="12553041.036323847"/>
    <s v="Normal"/>
    <x v="0"/>
  </r>
  <r>
    <s v="2319-TOR-954-00267"/>
    <s v="BRN"/>
    <x v="3"/>
    <x v="4"/>
    <x v="0"/>
    <n v="9462643"/>
    <n v="1.49E-2"/>
    <n v="140993.38"/>
    <s v="8006 Victoria Rd"/>
    <s v="C7P 1Y6"/>
    <s v="Liam Jackson"/>
    <n v="9218015"/>
    <d v="2021-07-03T00:00:00"/>
    <s v="Brampton"/>
    <n v="1.49E-2"/>
    <n v="2"/>
    <s v="Apartment buildings and multi-tenant residential"/>
    <s v="Valid"/>
    <s v="Match"/>
    <s v="Valid"/>
    <s v="Duplicate"/>
    <s v="Valid"/>
    <s v="Valid"/>
    <s v="Valid"/>
    <s v="Complete"/>
    <n v="4842179.1619999995"/>
    <n v="12553041.036323847"/>
    <s v="Normal"/>
    <x v="1"/>
  </r>
  <r>
    <s v="2319-TOR-954-00267"/>
    <s v="TOR"/>
    <x v="1"/>
    <x v="4"/>
    <x v="0"/>
    <n v="7396153"/>
    <n v="1.4800000000000001E-2"/>
    <n v="109463.06"/>
    <s v="4989 King St"/>
    <s v="X1E 3Y6"/>
    <s v="Ethan Nguyen"/>
    <n v="7300499"/>
    <d v="2023-07-04T00:00:00"/>
    <s v="Toronto"/>
    <n v="1.4800000000000001E-2"/>
    <n v="2"/>
    <s v="Apartment buildings and multi-tenant residential"/>
    <s v="Valid"/>
    <s v="Match"/>
    <s v="Valid"/>
    <s v="Duplicate"/>
    <s v="Valid"/>
    <s v="Valid"/>
    <s v="Valid"/>
    <s v="Complete"/>
    <n v="4842179.1619999995"/>
    <n v="12553041.036323847"/>
    <s v="Normal"/>
    <x v="1"/>
  </r>
  <r>
    <s v="2326-KIN-679-00149"/>
    <s v="KIN"/>
    <x v="10"/>
    <x v="1"/>
    <x v="0"/>
    <n v="5261023"/>
    <n v="1.83E-2"/>
    <n v="96276.72"/>
    <s v="7961 Victoria Rd"/>
    <s v="B0E 7A1"/>
    <s v="Johnson Investments Inc."/>
    <n v="5575534"/>
    <d v="2022-05-26T00:00:00"/>
    <s v="Kingston"/>
    <n v="1.83E-2"/>
    <n v="1"/>
    <s v="Manufacturing and warehousing"/>
    <s v="Valid"/>
    <s v="Match"/>
    <s v="Valid"/>
    <s v="Unique"/>
    <s v="Valid"/>
    <s v="Valid"/>
    <s v="Valid"/>
    <s v="Complete"/>
    <n v="4842179.1619999995"/>
    <n v="12553041.036323847"/>
    <s v="Normal"/>
    <x v="0"/>
  </r>
  <r>
    <s v="2345-LON-195-00150"/>
    <s v="LON"/>
    <x v="4"/>
    <x v="3"/>
    <x v="0"/>
    <n v="1516415"/>
    <n v="2.0400000000000001E-2"/>
    <n v="30934.87"/>
    <s v="5915 Church St, Apt 29"/>
    <s v="H0R 4K6"/>
    <s v="Sarah Smith"/>
    <n v="1478046"/>
    <d v="2020-06-08T00:00:00"/>
    <s v="London"/>
    <n v="2.0400000000000001E-2"/>
    <n v="1"/>
    <s v="Business properties and retail"/>
    <s v="Valid"/>
    <s v="Match"/>
    <s v="Valid"/>
    <s v="Unique"/>
    <s v="Valid"/>
    <s v="Valid"/>
    <s v="Valid"/>
    <s v="Complete"/>
    <n v="4842179.1619999995"/>
    <n v="12553041.036323847"/>
    <s v="Normal"/>
    <x v="0"/>
  </r>
  <r>
    <s v="2266-HAM-109-00151"/>
    <s v="HAM"/>
    <x v="7"/>
    <x v="8"/>
    <x v="1"/>
    <n v="7288890"/>
    <n v="1.5100000000000001E-2"/>
    <n v="110062.24"/>
    <s v="142 Victoria Rd"/>
    <s v="S2V 1K6"/>
    <s v="Sarah Brown"/>
    <n v="7359396"/>
    <d v="2022-05-10T00:00:00"/>
    <s v="Hamilton"/>
    <m/>
    <n v="1"/>
    <m/>
    <s v="Valid"/>
    <s v="Match"/>
    <s v="Mismatch"/>
    <s v="Unique"/>
    <s v="Valid"/>
    <s v="Invalid"/>
    <s v="Valid"/>
    <s v="Complete"/>
    <n v="4842179.1619999995"/>
    <n v="12553041.036323847"/>
    <s v="Normal"/>
    <x v="1"/>
  </r>
  <r>
    <s v="2296-HAM-246-00152"/>
    <s v="HAM"/>
    <x v="7"/>
    <x v="2"/>
    <x v="1"/>
    <n v="2155477"/>
    <n v="9.7999999999999997E-3"/>
    <n v="21123.67"/>
    <s v="1130 Elm St"/>
    <s v="H7P 3G6"/>
    <s v="Emma Jackson"/>
    <n v="2103822"/>
    <d v="2020-02-16T00:00:00"/>
    <s v="Hamilton"/>
    <n v="9.7999999999999997E-3"/>
    <n v="1"/>
    <s v="Farms and rural properties"/>
    <s v="Valid"/>
    <s v="Match"/>
    <s v="Valid"/>
    <s v="Unique"/>
    <s v="Valid"/>
    <s v="Valid"/>
    <s v="Valid"/>
    <s v="Complete"/>
    <n v="4842179.1619999995"/>
    <n v="12553041.036323847"/>
    <s v="Normal"/>
    <x v="0"/>
  </r>
  <r>
    <s v="2464-HAM-422-00153"/>
    <s v="HAM"/>
    <x v="7"/>
    <x v="0"/>
    <x v="3"/>
    <n v="669944"/>
    <n v="1.2800000000000001E-2"/>
    <n v="8575.2800000000007"/>
    <s v="2300 Maple Ave"/>
    <s v="C3Y 9M0"/>
    <s v="Nguyen Developments Inc."/>
    <n v="651123"/>
    <m/>
    <s v="Hamilton"/>
    <n v="1.2800000000000001E-2"/>
    <n v="1"/>
    <s v="Single-family and multi-unit homes"/>
    <s v="Valid"/>
    <s v="Match"/>
    <s v="Valid"/>
    <s v="Unique"/>
    <s v="Valid"/>
    <s v="Valid"/>
    <m/>
    <s v="Complete"/>
    <n v="4842179.1619999995"/>
    <n v="12553041.036323847"/>
    <s v="Normal"/>
    <x v="2"/>
  </r>
  <r>
    <s v="2416-OSH-902-00154"/>
    <s v="OSH"/>
    <x v="2"/>
    <x v="3"/>
    <x v="3"/>
    <n v="1929515"/>
    <n v="2.0400000000000001E-2"/>
    <n v="39362.11"/>
    <s v="3931 Lakeshore Rd"/>
    <s v="K7C 8A5"/>
    <s v="Johnson Investments Inc."/>
    <n v="2317897"/>
    <d v="2024-03-10T00:00:00"/>
    <s v="Oshawa"/>
    <n v="2.0400000000000001E-2"/>
    <n v="1"/>
    <s v="Business properties and retail"/>
    <s v="Valid"/>
    <s v="Match"/>
    <s v="Valid"/>
    <s v="Unique"/>
    <s v="Valid"/>
    <s v="Valid"/>
    <s v="Valid"/>
    <s v="Complete"/>
    <n v="4842179.1619999995"/>
    <n v="12553041.036323847"/>
    <s v="Normal"/>
    <x v="0"/>
  </r>
  <r>
    <s v="2219-BRN-117-00155"/>
    <s v="BRN"/>
    <x v="3"/>
    <x v="1"/>
    <x v="1"/>
    <n v="7121134"/>
    <n v="1.8599999999999998E-2"/>
    <n v="132453.09"/>
    <s v="9633 King St, Unit 2"/>
    <s v="B6X 4X6"/>
    <s v="Sophia Brown"/>
    <n v="8005494"/>
    <d v="2025-01-11T00:00:00"/>
    <s v="Brampton"/>
    <n v="1.8599999999999998E-2"/>
    <n v="1"/>
    <s v="Manufacturing and warehousing"/>
    <s v="Valid"/>
    <s v="Match"/>
    <s v="Valid"/>
    <s v="Unique"/>
    <s v="Valid"/>
    <s v="Valid"/>
    <s v="Valid"/>
    <s v="Complete"/>
    <n v="4842179.1619999995"/>
    <n v="12553041.036323847"/>
    <s v="Normal"/>
    <x v="0"/>
  </r>
  <r>
    <s v="2320-GUE-623-00156"/>
    <s v="GUE"/>
    <x v="5"/>
    <x v="3"/>
    <x v="0"/>
    <n v="1209568"/>
    <n v="2.0500000000000001E-2"/>
    <n v="24796.14"/>
    <s v="3339 Queen St"/>
    <s v="R9C 4S3"/>
    <s v="David Clark"/>
    <n v="1272549"/>
    <d v="2022-07-17T00:00:00"/>
    <s v="Guelph"/>
    <n v="2.0500000000000001E-2"/>
    <n v="1"/>
    <s v="Business properties and retail"/>
    <s v="Valid"/>
    <s v="Match"/>
    <s v="Valid"/>
    <s v="Unique"/>
    <s v="Valid"/>
    <s v="Valid"/>
    <s v="Valid"/>
    <s v="Complete"/>
    <n v="4842179.1619999995"/>
    <n v="12553041.036323847"/>
    <s v="Normal"/>
    <x v="0"/>
  </r>
  <r>
    <s v="2194-GUE-858-00157"/>
    <s v="GUE"/>
    <x v="5"/>
    <x v="4"/>
    <x v="2"/>
    <n v="5158657"/>
    <n v="1.4800000000000001E-2"/>
    <n v="76348.12"/>
    <s v="2887 King St, Unit 23"/>
    <s v="A2V 5X8"/>
    <s v="Wilson Developments Inc."/>
    <n v="4944248"/>
    <d v="2020-06-03T00:00:00"/>
    <s v="Guelph"/>
    <n v="1.4800000000000001E-2"/>
    <n v="1"/>
    <s v="Apartment buildings and multi-tenant residential"/>
    <s v="Valid"/>
    <s v="Match"/>
    <s v="Valid"/>
    <s v="Unique"/>
    <s v="Valid"/>
    <s v="Valid"/>
    <s v="Valid"/>
    <s v="Complete"/>
    <n v="4842179.1619999995"/>
    <n v="12553041.036323847"/>
    <s v="Normal"/>
    <x v="0"/>
  </r>
  <r>
    <s v="2164-WDR-378-00158"/>
    <s v="WDR"/>
    <x v="8"/>
    <x v="0"/>
    <x v="2"/>
    <n v="659434"/>
    <n v="1.2699999999999999E-2"/>
    <n v="8524.81"/>
    <s v="8592 King St"/>
    <s v="C7T 8P0"/>
    <s v="Aisha Anderson"/>
    <n v="629798"/>
    <d v="2020-02-26T00:00:00"/>
    <s v="Windsor"/>
    <n v="1.2699999999999999E-2"/>
    <n v="1"/>
    <s v="Single-family and multi-unit homes"/>
    <s v="Valid"/>
    <s v="Match"/>
    <s v="Mismatch"/>
    <s v="Unique"/>
    <s v="Valid"/>
    <s v="Valid"/>
    <s v="Valid"/>
    <s v="Complete"/>
    <n v="4842179.1619999995"/>
    <n v="12553041.036323847"/>
    <s v="Normal"/>
    <x v="1"/>
  </r>
  <r>
    <s v="2210-GUE-145-00159"/>
    <s v="GUE"/>
    <x v="5"/>
    <x v="7"/>
    <x v="1"/>
    <n v="975194"/>
    <n v="1.2500000000000001E-2"/>
    <n v="12189.93"/>
    <s v="211 Maple Ave, Suite 13"/>
    <s v="G2B 8S3"/>
    <s v="Liam Clark"/>
    <n v="1123522"/>
    <d v="2022-01-16T00:00:00"/>
    <s v="Guelph"/>
    <m/>
    <n v="1"/>
    <m/>
    <s v="Valid"/>
    <s v="Match"/>
    <s v="Mismatch"/>
    <s v="Unique"/>
    <s v="Valid"/>
    <s v="Invalid"/>
    <s v="Valid"/>
    <s v="Complete"/>
    <n v="4842179.1619999995"/>
    <n v="12553041.036323847"/>
    <s v="Normal"/>
    <x v="1"/>
  </r>
  <r>
    <s v="2396-OTT-153-00160"/>
    <s v="X99"/>
    <x v="0"/>
    <x v="4"/>
    <x v="0"/>
    <n v="3388815"/>
    <n v="1.44E-2"/>
    <n v="48798.94"/>
    <s v="2948 Maple Ave"/>
    <s v="B6C 7M4"/>
    <s v="Ella Martin"/>
    <n v="3059386"/>
    <d v="2021-02-14T00:00:00"/>
    <m/>
    <m/>
    <n v="1"/>
    <s v="Apartment buildings and multi-tenant residential"/>
    <s v="Invalid"/>
    <s v="Mismatch"/>
    <s v="Mismatch"/>
    <s v="Unique"/>
    <s v="Valid"/>
    <s v="Valid"/>
    <s v="Valid"/>
    <s v="Complete"/>
    <n v="4842179.1619999995"/>
    <n v="12553041.036323847"/>
    <s v="Normal"/>
    <x v="1"/>
  </r>
  <r>
    <s v="2341-WDR-575-00161"/>
    <s v="WDR"/>
    <x v="8"/>
    <x v="4"/>
    <x v="0"/>
    <n v="10114974"/>
    <n v="1.4999999999999999E-2"/>
    <n v="151724.60999999999"/>
    <s v="6043 Cedar Ave"/>
    <s v="J8K 2A6"/>
    <s v="Ella Anderson"/>
    <n v="11354864"/>
    <d v="2023-11-21T00:00:00"/>
    <s v="Windsor"/>
    <n v="1.4999999999999999E-2"/>
    <n v="1"/>
    <s v="Apartment buildings and multi-tenant residential"/>
    <s v="Valid"/>
    <s v="Match"/>
    <s v="Valid"/>
    <s v="Unique"/>
    <s v="Valid"/>
    <s v="Valid"/>
    <s v="Valid"/>
    <s v="Complete"/>
    <n v="4842179.1619999995"/>
    <n v="12553041.036323847"/>
    <s v="Normal"/>
    <x v="0"/>
  </r>
  <r>
    <s v="2158-TOR-969-00162"/>
    <s v="TOR"/>
    <x v="1"/>
    <x v="1"/>
    <x v="2"/>
    <n v="7082254"/>
    <n v="1.8499999999999999E-2"/>
    <n v="131021.7"/>
    <s v="5048 King St, Unit 14"/>
    <s v="V0G 4C0"/>
    <s v="Clark Group Inc."/>
    <n v="7397909"/>
    <d v="2023-03-06T00:00:00"/>
    <s v="Toronto"/>
    <n v="1.8499999999999999E-2"/>
    <n v="1"/>
    <s v="Manufacturing and warehousing"/>
    <s v="Valid"/>
    <s v="Match"/>
    <s v="Valid"/>
    <s v="Unique"/>
    <s v="Valid"/>
    <s v="Valid"/>
    <s v="Valid"/>
    <s v="Complete"/>
    <n v="4842179.1619999995"/>
    <n v="12553041.036323847"/>
    <s v="Normal"/>
    <x v="0"/>
  </r>
  <r>
    <s v="2191-MSS-939-00163"/>
    <s v="MSS"/>
    <x v="6"/>
    <x v="0"/>
    <x v="2"/>
    <n v="775098"/>
    <n v="1.29E-2"/>
    <n v="9998.76"/>
    <s v="6471 King St"/>
    <s v="B6G 3M4"/>
    <s v="Clark Investments Inc."/>
    <n v="887684"/>
    <d v="2022-08-29T00:00:00"/>
    <s v="Mississauga"/>
    <n v="1.29E-2"/>
    <n v="1"/>
    <s v="Single-family and multi-unit homes"/>
    <s v="Valid"/>
    <s v="Match"/>
    <s v="Valid"/>
    <s v="Unique"/>
    <s v="Valid"/>
    <s v="Valid"/>
    <s v="Valid"/>
    <s v="Complete"/>
    <n v="4842179.1619999995"/>
    <n v="12553041.036323847"/>
    <s v="Normal"/>
    <x v="0"/>
  </r>
  <r>
    <s v="2335-KIN-239-00164"/>
    <s v="KIN"/>
    <x v="10"/>
    <x v="2"/>
    <x v="0"/>
    <n v="1071686"/>
    <n v="9.2999999999999992E-3"/>
    <n v="9966.68"/>
    <s v="9589 King St, Unit 15"/>
    <s v="T5S 1Y5"/>
    <s v="Williams Investments Inc."/>
    <n v="1080161"/>
    <d v="2021-06-26T00:00:00"/>
    <s v="Kingston"/>
    <n v="9.2999999999999992E-3"/>
    <n v="1"/>
    <s v="Farms and rural properties"/>
    <s v="Valid"/>
    <s v="Match"/>
    <s v="Valid"/>
    <s v="Unique"/>
    <s v="Valid"/>
    <s v="Valid"/>
    <s v="Valid"/>
    <s v="Complete"/>
    <n v="4842179.1619999995"/>
    <n v="12553041.036323847"/>
    <s v="Normal"/>
    <x v="0"/>
  </r>
  <r>
    <s v="2248-OTT-946-00165"/>
    <s v="OTT"/>
    <x v="0"/>
    <x v="0"/>
    <x v="1"/>
    <n v="1047863"/>
    <n v="1.21E-2"/>
    <n v="12679.14"/>
    <s v="9894 Main St, Suite 5"/>
    <s v="C3P 6X0"/>
    <s v="James Jackson"/>
    <n v="1306409"/>
    <d v="2019-05-08T00:00:00"/>
    <s v="Ottawa"/>
    <n v="1.21E-2"/>
    <n v="1"/>
    <s v="Single-family and multi-unit homes"/>
    <s v="Valid"/>
    <s v="Match"/>
    <s v="Valid"/>
    <s v="Unique"/>
    <s v="Valid"/>
    <s v="Valid"/>
    <s v="Valid"/>
    <s v="Complete"/>
    <n v="4842179.1619999995"/>
    <n v="12553041.036323847"/>
    <s v="Normal"/>
    <x v="0"/>
  </r>
  <r>
    <s v="2223-BRN-923-00166"/>
    <s v="BRN"/>
    <x v="3"/>
    <x v="2"/>
    <x v="1"/>
    <n v="741332"/>
    <n v="9.5999999999999992E-3"/>
    <n v="7116.79"/>
    <s v="2300 King St, Unit 5"/>
    <s v="J6P 1L1"/>
    <s v="David Williams"/>
    <n v="901366"/>
    <d v="2023-12-22T00:00:00"/>
    <s v="Brampton"/>
    <n v="9.5999999999999992E-3"/>
    <n v="1"/>
    <s v="Farms and rural properties"/>
    <s v="Valid"/>
    <s v="Match"/>
    <s v="Valid"/>
    <s v="Unique"/>
    <s v="Valid"/>
    <s v="Valid"/>
    <s v="Valid"/>
    <s v="Complete"/>
    <n v="4842179.1619999995"/>
    <n v="12553041.036323847"/>
    <s v="Normal"/>
    <x v="0"/>
  </r>
  <r>
    <s v="2369-HAM-151-00167"/>
    <s v="HAM"/>
    <x v="7"/>
    <x v="0"/>
    <x v="0"/>
    <n v="497515"/>
    <n v="1.2800000000000001E-2"/>
    <n v="6368.19"/>
    <s v="2762 Cedar Ave"/>
    <s v="R7A 6S2"/>
    <s v="Aisha Taylor"/>
    <n v="496495"/>
    <d v="2024-12-14T00:00:00"/>
    <s v="Hamilton"/>
    <n v="1.2800000000000001E-2"/>
    <n v="1"/>
    <s v="Single-family and multi-unit homes"/>
    <s v="Valid"/>
    <s v="Match"/>
    <s v="Valid"/>
    <s v="Unique"/>
    <s v="Valid"/>
    <s v="Valid"/>
    <s v="Valid"/>
    <s v="Complete"/>
    <n v="4842179.1619999995"/>
    <n v="12553041.036323847"/>
    <s v="Normal"/>
    <x v="0"/>
  </r>
  <r>
    <s v="2273-HAM-521-00168"/>
    <s v="HAM"/>
    <x v="7"/>
    <x v="0"/>
    <x v="1"/>
    <n v="887818"/>
    <n v="1.2800000000000001E-2"/>
    <n v="11364.07"/>
    <s v="9032 Lakeshore Rd, Suite 13"/>
    <s v="INVALID"/>
    <s v="Thomas Developments Inc."/>
    <n v="948092"/>
    <d v="2024-06-08T00:00:00"/>
    <s v="Hamilton"/>
    <n v="1.2800000000000001E-2"/>
    <n v="1"/>
    <s v="Single-family and multi-unit homes"/>
    <s v="Valid"/>
    <s v="Match"/>
    <s v="Valid"/>
    <s v="Unique"/>
    <s v="Invalid"/>
    <s v="Valid"/>
    <s v="Valid"/>
    <s v="Complete"/>
    <n v="4842179.1619999995"/>
    <n v="12553041.036323847"/>
    <s v="Normal"/>
    <x v="1"/>
  </r>
  <r>
    <s v="2333-KIN-126-00169"/>
    <s v="KIN"/>
    <x v="10"/>
    <x v="4"/>
    <x v="0"/>
    <n v="5916215"/>
    <n v="1.46E-2"/>
    <n v="86376.74"/>
    <s v="5234 Cedar Ave, Suite 2"/>
    <s v="V8P 9K2"/>
    <s v="Grace Taylor"/>
    <n v="6429691"/>
    <m/>
    <s v="Kingston"/>
    <n v="1.46E-2"/>
    <n v="1"/>
    <s v="Apartment buildings and multi-tenant residential"/>
    <s v="Valid"/>
    <s v="Match"/>
    <s v="Valid"/>
    <s v="Unique"/>
    <s v="Valid"/>
    <s v="Valid"/>
    <m/>
    <s v="Complete"/>
    <n v="4842179.1619999995"/>
    <n v="12553041.036323847"/>
    <s v="Normal"/>
    <x v="2"/>
  </r>
  <r>
    <s v="2432-TOR-280-00170"/>
    <s v="TOR"/>
    <x v="1"/>
    <x v="3"/>
    <x v="3"/>
    <n v="2104490"/>
    <n v="2.0500000000000001E-2"/>
    <n v="43142.04"/>
    <s v="3885 Cedar Ave"/>
    <s v="P9A 5G9"/>
    <s v="Jackson Investments Inc."/>
    <n v="2293355"/>
    <d v="2021-12-26T00:00:00"/>
    <s v="Toronto"/>
    <n v="2.0500000000000001E-2"/>
    <n v="1"/>
    <s v="Business properties and retail"/>
    <s v="Valid"/>
    <s v="Match"/>
    <s v="Valid"/>
    <s v="Unique"/>
    <s v="Valid"/>
    <s v="Valid"/>
    <s v="Valid"/>
    <s v="Complete"/>
    <n v="4842179.1619999995"/>
    <n v="12553041.036323847"/>
    <s v="Normal"/>
    <x v="0"/>
  </r>
  <r>
    <s v="2187-MSS-324-00171"/>
    <s v="MSS"/>
    <x v="6"/>
    <x v="0"/>
    <x v="2"/>
    <n v="417583"/>
    <n v="1.29E-2"/>
    <n v="5386.82"/>
    <s v="336 Elm St"/>
    <s v="N9J 2N2"/>
    <s v="Jackson Developments Inc."/>
    <n v="384529"/>
    <d v="2020-08-28T00:00:00"/>
    <s v="Mississauga"/>
    <n v="1.29E-2"/>
    <n v="1"/>
    <s v="Single-family and multi-unit homes"/>
    <s v="Valid"/>
    <s v="Match"/>
    <s v="Valid"/>
    <s v="Unique"/>
    <s v="Valid"/>
    <s v="Valid"/>
    <s v="Valid"/>
    <s v="Complete"/>
    <n v="4842179.1619999995"/>
    <n v="12553041.036323847"/>
    <s v="Normal"/>
    <x v="0"/>
  </r>
  <r>
    <s v="2156-GUE-174-00172"/>
    <s v="GUE"/>
    <x v="5"/>
    <x v="3"/>
    <x v="2"/>
    <n v="4099798"/>
    <n v="2.0500000000000001E-2"/>
    <n v="84045.86"/>
    <s v="6130 Park Ave"/>
    <s v="E5M 5G2"/>
    <s v="Liam White"/>
    <n v="4607120"/>
    <d v="2024-06-18T00:00:00"/>
    <s v="Guelph"/>
    <n v="2.0500000000000001E-2"/>
    <n v="1"/>
    <s v="Business properties and retail"/>
    <s v="Valid"/>
    <s v="Match"/>
    <s v="Valid"/>
    <s v="Unique"/>
    <s v="Valid"/>
    <s v="Valid"/>
    <s v="Valid"/>
    <s v="Complete"/>
    <n v="4842179.1619999995"/>
    <n v="12553041.036323847"/>
    <s v="Normal"/>
    <x v="0"/>
  </r>
  <r>
    <s v="2385-KIN-934-00173"/>
    <s v="KIN"/>
    <x v="10"/>
    <x v="3"/>
    <x v="0"/>
    <n v="1722944"/>
    <n v="2.0299999999999999E-2"/>
    <n v="34975.760000000002"/>
    <s v="2882 Wellington St"/>
    <s v="M2H 0R9"/>
    <s v="Olivia Clark"/>
    <n v="2038385"/>
    <d v="2023-06-06T00:00:00"/>
    <s v="Kingston"/>
    <n v="2.0299999999999999E-2"/>
    <n v="1"/>
    <s v="Business properties and retail"/>
    <s v="Valid"/>
    <s v="Match"/>
    <s v="Valid"/>
    <s v="Unique"/>
    <s v="Valid"/>
    <s v="Valid"/>
    <s v="Valid"/>
    <s v="Complete"/>
    <n v="4842179.1619999995"/>
    <n v="12553041.036323847"/>
    <s v="Normal"/>
    <x v="0"/>
  </r>
  <r>
    <s v="2128-LON-439-00174"/>
    <s v="LON"/>
    <x v="4"/>
    <x v="4"/>
    <x v="2"/>
    <n v="14112178"/>
    <n v="1.47E-2"/>
    <n v="207449.02"/>
    <s v="1284 Maple Ave"/>
    <s v="N2C 5T0"/>
    <s v="Grace Wilson"/>
    <m/>
    <d v="2021-11-17T00:00:00"/>
    <s v="London"/>
    <n v="1.47E-2"/>
    <n v="1"/>
    <s v="Apartment buildings and multi-tenant residential"/>
    <s v="Valid"/>
    <s v="Match"/>
    <s v="Valid"/>
    <s v="Unique"/>
    <s v="Valid"/>
    <s v="Valid"/>
    <s v="Valid"/>
    <s v="Complete"/>
    <n v="4842179.1619999995"/>
    <n v="12553041.036323847"/>
    <s v="Normal"/>
    <x v="0"/>
  </r>
  <r>
    <s v="2163-OTT-270-00175"/>
    <s v="OTT"/>
    <x v="0"/>
    <x v="0"/>
    <x v="2"/>
    <n v="692261"/>
    <n v="1.21E-2"/>
    <n v="8456.36"/>
    <s v="6793 Lakeshore Rd"/>
    <s v="P8R 1V9"/>
    <s v="Grace Johnson"/>
    <n v="732378"/>
    <d v="2019-05-17T00:00:00"/>
    <s v="Ottawa"/>
    <n v="1.21E-2"/>
    <n v="1"/>
    <s v="Single-family and multi-unit homes"/>
    <s v="Valid"/>
    <s v="Match"/>
    <s v="Mismatch"/>
    <s v="Unique"/>
    <s v="Valid"/>
    <s v="Valid"/>
    <s v="Valid"/>
    <s v="Complete"/>
    <n v="4842179.1619999995"/>
    <n v="12553041.036323847"/>
    <s v="Normal"/>
    <x v="1"/>
  </r>
  <r>
    <s v="2323-WDR-175-00176"/>
    <s v="WDR"/>
    <x v="8"/>
    <x v="0"/>
    <x v="0"/>
    <n v="611336"/>
    <n v="1.2699999999999999E-2"/>
    <n v="7763.97"/>
    <s v="5610 Queen St"/>
    <s v="H1Y 1N9"/>
    <s v="Clark Investments Inc."/>
    <n v="700944"/>
    <d v="2022-06-02T00:00:00"/>
    <s v="Windsor"/>
    <n v="1.2699999999999999E-2"/>
    <n v="1"/>
    <s v="Single-family and multi-unit homes"/>
    <s v="Valid"/>
    <s v="Match"/>
    <s v="Valid"/>
    <s v="Unique"/>
    <s v="Valid"/>
    <s v="Valid"/>
    <s v="Valid"/>
    <s v="Complete"/>
    <n v="4842179.1619999995"/>
    <n v="12553041.036323847"/>
    <s v="Normal"/>
    <x v="0"/>
  </r>
  <r>
    <s v="2422-HAM-439-00177"/>
    <s v="HAM"/>
    <x v="7"/>
    <x v="4"/>
    <x v="3"/>
    <n v="3784256"/>
    <n v="1.5100000000000001E-2"/>
    <n v="57142.27"/>
    <s v="3377 Maple Ave"/>
    <s v="Y8L 4M3"/>
    <s v="Sophia Patel"/>
    <n v="4133853"/>
    <d v="2023-10-03T00:00:00"/>
    <s v="Hamilton"/>
    <n v="1.5100000000000001E-2"/>
    <n v="1"/>
    <s v="Apartment buildings and multi-tenant residential"/>
    <s v="Valid"/>
    <s v="Match"/>
    <s v="Valid"/>
    <s v="Unique"/>
    <s v="Valid"/>
    <s v="Valid"/>
    <s v="Valid"/>
    <s v="Complete"/>
    <n v="4842179.1619999995"/>
    <n v="12553041.036323847"/>
    <s v="Normal"/>
    <x v="0"/>
  </r>
  <r>
    <s v="2321-HAM-401-00178"/>
    <s v="HAM"/>
    <x v="7"/>
    <x v="0"/>
    <x v="0"/>
    <n v="293678"/>
    <n v="1.2800000000000001E-2"/>
    <n v="3759.08"/>
    <s v="9843 Lakeshore Rd, Unit 7"/>
    <s v="H4C 7E4"/>
    <s v="Martin Investments Inc."/>
    <n v="356292"/>
    <d v="2021-06-26T00:00:00"/>
    <s v="Hamilton"/>
    <n v="1.2800000000000001E-2"/>
    <n v="1"/>
    <s v="Single-family and multi-unit homes"/>
    <s v="Valid"/>
    <s v="Match"/>
    <s v="Valid"/>
    <s v="Unique"/>
    <s v="Valid"/>
    <s v="Valid"/>
    <s v="Valid"/>
    <s v="Complete"/>
    <n v="4842179.1619999995"/>
    <n v="12553041.036323847"/>
    <s v="Normal"/>
    <x v="0"/>
  </r>
  <r>
    <s v="2458-OTT-478-00179"/>
    <s v="OTT"/>
    <x v="0"/>
    <x v="4"/>
    <x v="3"/>
    <n v="4045827"/>
    <n v="1.44E-2"/>
    <n v="58259.91"/>
    <s v="3066 Lakeshore Rd, Suite 15"/>
    <s v="L3L 9B2"/>
    <s v="Sarah Brown"/>
    <n v="4587359"/>
    <d v="2024-01-14T00:00:00"/>
    <s v="Ottawa"/>
    <n v="1.44E-2"/>
    <n v="1"/>
    <s v="Apartment buildings and multi-tenant residential"/>
    <s v="Valid"/>
    <s v="Match"/>
    <s v="Valid"/>
    <s v="Unique"/>
    <s v="Valid"/>
    <s v="Valid"/>
    <s v="Valid"/>
    <s v="Complete"/>
    <n v="4842179.1619999995"/>
    <n v="12553041.036323847"/>
    <s v="Normal"/>
    <x v="0"/>
  </r>
  <r>
    <s v="2259-BRN-938-00180"/>
    <s v="BRN"/>
    <x v="3"/>
    <x v="4"/>
    <x v="1"/>
    <n v="7676576"/>
    <n v="1.49E-2"/>
    <n v="114380.98"/>
    <s v="8571 Wellington St"/>
    <s v="V9K 7M1"/>
    <s v="Mary Lee"/>
    <n v="8443673"/>
    <d v="2024-10-17T00:00:00"/>
    <s v="Brampton"/>
    <n v="1.49E-2"/>
    <n v="1"/>
    <s v="Apartment buildings and multi-tenant residential"/>
    <s v="Valid"/>
    <s v="Match"/>
    <s v="Valid"/>
    <s v="Unique"/>
    <s v="Valid"/>
    <s v="Valid"/>
    <s v="Valid"/>
    <s v="Complete"/>
    <n v="4842179.1619999995"/>
    <n v="12553041.036323847"/>
    <s v="Normal"/>
    <x v="0"/>
  </r>
  <r>
    <s v="2267-GUE-277-00181"/>
    <s v="GUE"/>
    <x v="5"/>
    <x v="4"/>
    <x v="1"/>
    <n v="3398716"/>
    <n v="1.4800000000000001E-2"/>
    <n v="50301"/>
    <s v="2748 Maple Ave"/>
    <s v="G0S 1S3"/>
    <s v="Nguyen Properties Inc."/>
    <n v="4051058"/>
    <d v="2021-11-22T00:00:00"/>
    <s v="Guelph"/>
    <n v="1.4800000000000001E-2"/>
    <n v="1"/>
    <s v="Apartment buildings and multi-tenant residential"/>
    <s v="Valid"/>
    <s v="Match"/>
    <s v="Valid"/>
    <s v="Unique"/>
    <s v="Valid"/>
    <s v="Valid"/>
    <s v="Valid"/>
    <s v="Complete"/>
    <n v="4842179.1619999995"/>
    <n v="12553041.036323847"/>
    <s v="Normal"/>
    <x v="0"/>
  </r>
  <r>
    <s v="2160-KIN-665-00182"/>
    <s v="KIN"/>
    <x v="10"/>
    <x v="0"/>
    <x v="2"/>
    <n v="693685"/>
    <n v="1.23E-2"/>
    <n v="8532.33"/>
    <s v="5353 Church St"/>
    <s v="A9X 6E6"/>
    <s v="Sarah Clark"/>
    <n v="649964"/>
    <d v="2020-02-18T00:00:00"/>
    <s v="Kingston"/>
    <n v="1.23E-2"/>
    <n v="1"/>
    <s v="Single-family and multi-unit homes"/>
    <s v="Valid"/>
    <s v="Match"/>
    <s v="Valid"/>
    <s v="Unique"/>
    <s v="Valid"/>
    <s v="Valid"/>
    <s v="Valid"/>
    <s v="Complete"/>
    <n v="4842179.1619999995"/>
    <n v="12553041.036323847"/>
    <s v="Normal"/>
    <x v="0"/>
  </r>
  <r>
    <s v="2396-HAM-420-00201"/>
    <s v="WDR"/>
    <x v="8"/>
    <x v="4"/>
    <x v="0"/>
    <n v="12600769"/>
    <n v="1.4999999999999999E-2"/>
    <n v="189011.54"/>
    <s v="7965 Cedar Ave"/>
    <s v="B2L 6G9"/>
    <s v="Sophia Smith"/>
    <n v="13086245"/>
    <d v="2024-12-05T00:00:00"/>
    <s v="Windsor"/>
    <n v="1.4999999999999999E-2"/>
    <n v="2"/>
    <s v="Apartment buildings and multi-tenant residential"/>
    <s v="Valid"/>
    <s v="Match"/>
    <s v="Valid"/>
    <s v="Duplicate"/>
    <s v="Valid"/>
    <s v="Valid"/>
    <s v="Valid"/>
    <s v="Complete"/>
    <n v="4842179.1619999995"/>
    <n v="12553041.036323847"/>
    <s v="Normal"/>
    <x v="1"/>
  </r>
  <r>
    <s v="2396-HAM-420-00201"/>
    <s v="HAM"/>
    <x v="7"/>
    <x v="0"/>
    <x v="0"/>
    <n v="675517"/>
    <n v="1.2800000000000001E-2"/>
    <n v="8646.6200000000008"/>
    <s v="6989 King St, Unit 1"/>
    <s v="G2N 5T9"/>
    <s v="David Anderson"/>
    <n v="800648"/>
    <d v="2021-01-09T00:00:00"/>
    <s v="Hamilton"/>
    <n v="1.2800000000000001E-2"/>
    <n v="2"/>
    <s v="Single-family and multi-unit homes"/>
    <s v="Valid"/>
    <s v="Match"/>
    <s v="Valid"/>
    <s v="Duplicate"/>
    <s v="Valid"/>
    <s v="Valid"/>
    <s v="Valid"/>
    <s v="Complete"/>
    <n v="4842179.1619999995"/>
    <n v="12553041.036323847"/>
    <s v="Normal"/>
    <x v="1"/>
  </r>
  <r>
    <s v="2144-KIN-481-00184"/>
    <s v="KIN"/>
    <x v="10"/>
    <x v="3"/>
    <x v="2"/>
    <n v="3554603"/>
    <n v="2.0299999999999999E-2"/>
    <n v="72158.44"/>
    <s v="341 Victoria Rd"/>
    <s v="M4L 7E3"/>
    <s v="Emma White"/>
    <n v="4226559"/>
    <d v="2022-01-08T00:00:00"/>
    <s v="Kingston"/>
    <n v="2.0299999999999999E-2"/>
    <n v="1"/>
    <s v="Business properties and retail"/>
    <s v="Valid"/>
    <s v="Match"/>
    <s v="Valid"/>
    <s v="Unique"/>
    <s v="Valid"/>
    <s v="Valid"/>
    <s v="Valid"/>
    <s v="Complete"/>
    <n v="4842179.1619999995"/>
    <n v="12553041.036323847"/>
    <s v="Normal"/>
    <x v="0"/>
  </r>
  <r>
    <s v="2137-BRN-943-00185"/>
    <s v="BRN"/>
    <x v="3"/>
    <x v="4"/>
    <x v="2"/>
    <n v="4073352"/>
    <n v="1.49E-2"/>
    <n v="60692.94"/>
    <s v="6681 Lakeshore Rd"/>
    <s v="P0X 2C4"/>
    <s v="Sophia Johnson"/>
    <n v="4778778"/>
    <d v="2024-11-17T00:00:00"/>
    <s v="Brampton"/>
    <n v="1.49E-2"/>
    <n v="1"/>
    <s v="Apartment buildings and multi-tenant residential"/>
    <s v="Valid"/>
    <s v="Match"/>
    <s v="Valid"/>
    <s v="Unique"/>
    <s v="Valid"/>
    <s v="Valid"/>
    <s v="Valid"/>
    <s v="Complete"/>
    <n v="4842179.1619999995"/>
    <n v="12553041.036323847"/>
    <s v="Normal"/>
    <x v="0"/>
  </r>
  <r>
    <s v="2235-GUE-957-00186"/>
    <s v="GUE"/>
    <x v="5"/>
    <x v="0"/>
    <x v="1"/>
    <n v="560454"/>
    <n v="1.2500000000000001E-2"/>
    <n v="7005.68"/>
    <s v="954 Maple Ave, Unit 30"/>
    <s v="P3L 5T8"/>
    <s v="Sarah Nguyen"/>
    <n v="510404"/>
    <d v="2023-03-06T00:00:00"/>
    <s v="Guelph"/>
    <n v="1.2500000000000001E-2"/>
    <n v="1"/>
    <s v="Single-family and multi-unit homes"/>
    <s v="Valid"/>
    <s v="Match"/>
    <s v="Valid"/>
    <s v="Unique"/>
    <s v="Valid"/>
    <s v="Valid"/>
    <s v="Valid"/>
    <s v="Complete"/>
    <n v="4842179.1619999995"/>
    <n v="12553041.036323847"/>
    <s v="Normal"/>
    <x v="0"/>
  </r>
  <r>
    <s v="2470-MSS-700-00187"/>
    <s v="MSS"/>
    <x v="6"/>
    <x v="4"/>
    <x v="3"/>
    <n v="3979130"/>
    <n v="1.52E-2"/>
    <n v="60482.78"/>
    <s v="9043 Victoria Rd"/>
    <s v="L1M 0R0"/>
    <s v="Daniel Jackson"/>
    <n v="3889492"/>
    <d v="2022-04-07T00:00:00"/>
    <s v="Mississauga"/>
    <n v="1.52E-2"/>
    <n v="1"/>
    <s v="Apartment buildings and multi-tenant residential"/>
    <s v="Valid"/>
    <s v="Match"/>
    <s v="Valid"/>
    <s v="Unique"/>
    <s v="Valid"/>
    <s v="Valid"/>
    <s v="Valid"/>
    <s v="Complete"/>
    <n v="4842179.1619999995"/>
    <n v="12553041.036323847"/>
    <s v="Normal"/>
    <x v="0"/>
  </r>
  <r>
    <s v="2497-LON-109-00188"/>
    <s v="LON"/>
    <x v="4"/>
    <x v="1"/>
    <x v="3"/>
    <n v="5012323"/>
    <n v="1.84E-2"/>
    <n v="92226.74"/>
    <s v="7777 Queen St"/>
    <s v="A3L 9M4"/>
    <s v="Sophia Jackson"/>
    <n v="5122836"/>
    <d v="2022-06-01T00:00:00"/>
    <s v="London"/>
    <n v="1.84E-2"/>
    <n v="1"/>
    <s v="Manufacturing and warehousing"/>
    <s v="Valid"/>
    <s v="Match"/>
    <s v="Valid"/>
    <s v="Unique"/>
    <s v="Valid"/>
    <s v="Valid"/>
    <s v="Valid"/>
    <s v="Complete"/>
    <n v="4842179.1619999995"/>
    <n v="12553041.036323847"/>
    <s v="Normal"/>
    <x v="0"/>
  </r>
  <r>
    <s v="2240-WDR-158-00190"/>
    <s v="WDR"/>
    <x v="8"/>
    <x v="1"/>
    <x v="1"/>
    <n v="2708057"/>
    <n v="1.8700000000000001E-2"/>
    <n v="50640.67"/>
    <s v="9840 Wellington St"/>
    <s v="G0V 4L6"/>
    <s v="Mary Patel"/>
    <n v="3108373"/>
    <d v="2021-02-16T00:00:00"/>
    <s v="Windsor"/>
    <n v="1.8700000000000001E-2"/>
    <n v="1"/>
    <s v="Manufacturing and warehousing"/>
    <s v="Valid"/>
    <s v="Match"/>
    <s v="Valid"/>
    <s v="Unique"/>
    <s v="Valid"/>
    <s v="Valid"/>
    <s v="Valid"/>
    <s v="Complete"/>
    <n v="4842179.1619999995"/>
    <n v="12553041.036323847"/>
    <s v="Normal"/>
    <x v="0"/>
  </r>
  <r>
    <s v="2495-KIN-467-00191"/>
    <s v="KIN"/>
    <x v="10"/>
    <x v="3"/>
    <x v="3"/>
    <n v="4517267"/>
    <n v="2.0299999999999999E-2"/>
    <n v="91700.52"/>
    <s v="8321 Church St"/>
    <s v="Y2M 1V2"/>
    <s v="Ella White"/>
    <n v="5508440"/>
    <d v="2024-10-24T00:00:00"/>
    <s v="Kingston"/>
    <n v="2.0299999999999999E-2"/>
    <n v="1"/>
    <s v="Business properties and retail"/>
    <s v="Valid"/>
    <s v="Match"/>
    <s v="Valid"/>
    <s v="Unique"/>
    <s v="Valid"/>
    <s v="Valid"/>
    <s v="Valid"/>
    <s v="Complete"/>
    <n v="4842179.1619999995"/>
    <n v="12553041.036323847"/>
    <s v="Normal"/>
    <x v="0"/>
  </r>
  <r>
    <s v="2249-KIN-530-00192"/>
    <s v="KIN"/>
    <x v="10"/>
    <x v="0"/>
    <x v="1"/>
    <n v="672346"/>
    <n v="1.23E-2"/>
    <n v="8269.86"/>
    <s v="5438 Victoria Rd"/>
    <s v="M7E 7B9"/>
    <s v="David Martin"/>
    <n v="814412"/>
    <d v="2024-08-11T00:00:00"/>
    <s v="Kingston"/>
    <n v="1.23E-2"/>
    <n v="1"/>
    <s v="Single-family and multi-unit homes"/>
    <s v="Valid"/>
    <s v="Match"/>
    <s v="Valid"/>
    <s v="Unique"/>
    <s v="Valid"/>
    <s v="Valid"/>
    <s v="Valid"/>
    <s v="Complete"/>
    <n v="4842179.1619999995"/>
    <n v="12553041.036323847"/>
    <s v="Normal"/>
    <x v="0"/>
  </r>
  <r>
    <s v="2329-OTT-240-00193"/>
    <s v="OTT"/>
    <x v="0"/>
    <x v="2"/>
    <x v="0"/>
    <n v="1499902"/>
    <n v="9.1000000000000004E-3"/>
    <n v="13649.11"/>
    <s v="3291 Victoria Rd"/>
    <s v="T2N 2C7"/>
    <s v="Aisha Anderson"/>
    <n v="1683002"/>
    <d v="2020-01-10T00:00:00"/>
    <s v="Ottawa"/>
    <n v="9.1000000000000004E-3"/>
    <n v="1"/>
    <s v="Farms and rural properties"/>
    <s v="Valid"/>
    <s v="Match"/>
    <s v="Valid"/>
    <s v="Unique"/>
    <s v="Valid"/>
    <s v="Valid"/>
    <s v="Valid"/>
    <s v="Complete"/>
    <n v="4842179.1619999995"/>
    <n v="12553041.036323847"/>
    <s v="Normal"/>
    <x v="0"/>
  </r>
  <r>
    <s v="2231-MSS-690-00194"/>
    <s v="MSS"/>
    <x v="6"/>
    <x v="1"/>
    <x v="1"/>
    <n v="7105402"/>
    <n v="1.89E-2"/>
    <n v="134292.1"/>
    <s v="2605 Lakeshore Rd"/>
    <s v="C2S 6R6"/>
    <s v="Thomas Holdings Inc."/>
    <n v="6488681"/>
    <d v="2021-03-27T00:00:00"/>
    <s v="Mississauga"/>
    <n v="1.89E-2"/>
    <n v="1"/>
    <s v="Manufacturing and warehousing"/>
    <s v="Valid"/>
    <s v="Match"/>
    <s v="Valid"/>
    <s v="Unique"/>
    <s v="Valid"/>
    <s v="Valid"/>
    <s v="Valid"/>
    <s v="Complete"/>
    <n v="4842179.1619999995"/>
    <n v="12553041.036323847"/>
    <s v="Normal"/>
    <x v="0"/>
  </r>
  <r>
    <s v="2377-KIN-295-00195"/>
    <s v="KIN"/>
    <x v="10"/>
    <x v="0"/>
    <x v="0"/>
    <n v="991719"/>
    <n v="1.23E-2"/>
    <n v="12198.14"/>
    <s v="303 Park Ave, Apt 8"/>
    <s v="K5M 2E6"/>
    <s v="Fatima Johnson"/>
    <n v="915208"/>
    <d v="2020-04-03T00:00:00"/>
    <s v="Kingston"/>
    <n v="1.23E-2"/>
    <n v="1"/>
    <s v="Single-family and multi-unit homes"/>
    <s v="Valid"/>
    <s v="Match"/>
    <s v="Valid"/>
    <s v="Unique"/>
    <s v="Valid"/>
    <s v="Valid"/>
    <s v="Valid"/>
    <s v="Complete"/>
    <n v="4842179.1619999995"/>
    <n v="12553041.036323847"/>
    <s v="Normal"/>
    <x v="0"/>
  </r>
  <r>
    <s v="2486-WDR-636-00196"/>
    <s v="WDR"/>
    <x v="8"/>
    <x v="1"/>
    <x v="3"/>
    <n v="119505943"/>
    <n v="1.8700000000000001E-2"/>
    <n v="126686.63"/>
    <s v="5545 Wellington St"/>
    <s v="G5V 5J2"/>
    <s v="Clark Investments Inc."/>
    <n v="6142565"/>
    <d v="2022-04-05T00:00:00"/>
    <s v="Windsor"/>
    <n v="1.8700000000000001E-2"/>
    <n v="1"/>
    <s v="Manufacturing and warehousing"/>
    <s v="Valid"/>
    <s v="Match"/>
    <s v="Mismatch"/>
    <s v="Unique"/>
    <s v="Valid"/>
    <s v="Valid"/>
    <s v="Valid"/>
    <s v="Complete"/>
    <n v="4842179.1619999995"/>
    <n v="12553041.036323847"/>
    <s v="Outlier"/>
    <x v="1"/>
  </r>
  <r>
    <s v="2131-HAM-226-00197"/>
    <s v="HAM"/>
    <x v="7"/>
    <x v="3"/>
    <x v="2"/>
    <n v="2893487"/>
    <n v="2.0799999999999999E-2"/>
    <n v="60184.53"/>
    <s v="6016 Park Ave"/>
    <s v="R4Y 9B9"/>
    <s v="Nguyen Holdings Inc."/>
    <n v="3266020"/>
    <d v="2019-03-22T00:00:00"/>
    <s v="Hamilton"/>
    <n v="2.0799999999999999E-2"/>
    <n v="1"/>
    <s v="Business properties and retail"/>
    <s v="Valid"/>
    <s v="Match"/>
    <s v="Valid"/>
    <s v="Unique"/>
    <s v="Valid"/>
    <s v="Valid"/>
    <s v="Valid"/>
    <s v="Complete"/>
    <n v="4842179.1619999995"/>
    <n v="12553041.036323847"/>
    <s v="Normal"/>
    <x v="0"/>
  </r>
  <r>
    <s v="2425-TOR-660-00198"/>
    <s v="TOR"/>
    <x v="8"/>
    <x v="0"/>
    <x v="3"/>
    <n v="731615"/>
    <n v="1.2500000000000001E-2"/>
    <n v="9145.19"/>
    <s v="4150 Lakeshore Rd"/>
    <s v="J0M 6E8"/>
    <s v="Michael Thomas"/>
    <n v="871155"/>
    <d v="2021-08-03T00:00:00"/>
    <s v="Toronto"/>
    <n v="1.2500000000000001E-2"/>
    <n v="1"/>
    <s v="Single-family and multi-unit homes"/>
    <s v="Valid"/>
    <s v="Mismatch"/>
    <s v="Valid"/>
    <s v="Unique"/>
    <s v="Valid"/>
    <s v="Valid"/>
    <s v="Valid"/>
    <s v="Complete"/>
    <n v="4842179.1619999995"/>
    <n v="12553041.036323847"/>
    <s v="Normal"/>
    <x v="1"/>
  </r>
  <r>
    <s v="2121-KIN-213-00200"/>
    <s v="KIN"/>
    <x v="10"/>
    <x v="3"/>
    <x v="2"/>
    <n v="716157"/>
    <n v="2.0299999999999999E-2"/>
    <n v="14537.99"/>
    <s v="9416 Park Ave"/>
    <s v="C8C 1L3"/>
    <s v="Fatima Taylor"/>
    <n v="760915"/>
    <d v="2020-02-13T00:00:00"/>
    <s v="Kingston"/>
    <n v="2.0299999999999999E-2"/>
    <n v="1"/>
    <s v="Business properties and retail"/>
    <s v="Valid"/>
    <s v="Match"/>
    <s v="Valid"/>
    <s v="Unique"/>
    <s v="Valid"/>
    <s v="Valid"/>
    <s v="Valid"/>
    <s v="Complete"/>
    <n v="4842179.1619999995"/>
    <n v="12553041.036323847"/>
    <s v="Normal"/>
    <x v="0"/>
  </r>
  <r>
    <s v="2444-OTT-955-00202"/>
    <s v="OTT"/>
    <x v="0"/>
    <x v="5"/>
    <x v="3"/>
    <n v="3739727"/>
    <n v="9.1000000000000004E-3"/>
    <n v="34031.519999999997"/>
    <s v="6329 Lakeshore Rd"/>
    <s v="H1G 0H1"/>
    <s v="Chloe White"/>
    <n v="4110447"/>
    <d v="2023-06-17T00:00:00"/>
    <s v="Ottawa"/>
    <m/>
    <n v="1"/>
    <m/>
    <s v="Valid"/>
    <s v="Match"/>
    <s v="Mismatch"/>
    <s v="Unique"/>
    <s v="Valid"/>
    <s v="Invalid"/>
    <s v="Valid"/>
    <s v="Complete"/>
    <n v="4842179.1619999995"/>
    <n v="12553041.036323847"/>
    <s v="Normal"/>
    <x v="1"/>
  </r>
  <r>
    <s v="2488-HAM-129-00203"/>
    <s v="HAM"/>
    <x v="7"/>
    <x v="4"/>
    <x v="3"/>
    <n v="10738987"/>
    <n v="1.5100000000000001E-2"/>
    <n v="162158.70000000001"/>
    <s v="2150 Lakeshore Rd"/>
    <s v="E6T 0C4"/>
    <s v="John Wilson"/>
    <n v="12928841"/>
    <d v="2023-12-11T00:00:00"/>
    <s v="Hamilton"/>
    <n v="1.5100000000000001E-2"/>
    <n v="1"/>
    <s v="Apartment buildings and multi-tenant residential"/>
    <s v="Valid"/>
    <s v="Match"/>
    <s v="Valid"/>
    <s v="Unique"/>
    <s v="Valid"/>
    <s v="Valid"/>
    <s v="Valid"/>
    <s v="Complete"/>
    <n v="4842179.1619999995"/>
    <n v="12553041.036323847"/>
    <s v="Normal"/>
    <x v="0"/>
  </r>
  <r>
    <s v="2295-GUE-994-00204"/>
    <s v="GUE"/>
    <x v="5"/>
    <x v="4"/>
    <x v="1"/>
    <n v="15702781"/>
    <n v="1.4800000000000001E-2"/>
    <n v="232401.16"/>
    <s v="5552 Elm St"/>
    <s v="E6K 7P6"/>
    <s v="Ella Clark"/>
    <n v="19561379"/>
    <d v="2019-08-12T00:00:00"/>
    <s v="Guelph"/>
    <n v="1.4800000000000001E-2"/>
    <n v="1"/>
    <s v="Apartment buildings and multi-tenant residential"/>
    <s v="Valid"/>
    <s v="Match"/>
    <s v="Valid"/>
    <s v="Unique"/>
    <s v="Valid"/>
    <s v="Valid"/>
    <s v="Valid"/>
    <s v="Complete"/>
    <n v="4842179.1619999995"/>
    <n v="12553041.036323847"/>
    <s v="Normal"/>
    <x v="0"/>
  </r>
  <r>
    <s v="2431-TOR-176-00205"/>
    <s v="TOR"/>
    <x v="1"/>
    <x v="3"/>
    <x v="3"/>
    <n v="4133455"/>
    <n v="2.0500000000000001E-2"/>
    <n v="84735.83"/>
    <s v="8065 Victoria Rd, Suite 2"/>
    <s v="X3Y 6R3"/>
    <s v="Emma White"/>
    <n v="4549124"/>
    <d v="2021-06-30T00:00:00"/>
    <s v="Toronto"/>
    <n v="2.0500000000000001E-2"/>
    <n v="1"/>
    <s v="Business properties and retail"/>
    <s v="Valid"/>
    <s v="Match"/>
    <s v="Valid"/>
    <s v="Unique"/>
    <s v="Valid"/>
    <s v="Valid"/>
    <s v="Valid"/>
    <s v="Complete"/>
    <n v="4842179.1619999995"/>
    <n v="12553041.036323847"/>
    <s v="Normal"/>
    <x v="0"/>
  </r>
  <r>
    <s v="2373-MSS-863-00206"/>
    <s v="MSS"/>
    <x v="6"/>
    <x v="2"/>
    <x v="0"/>
    <n v="808384"/>
    <n v="9.9000000000000008E-3"/>
    <n v="8003"/>
    <s v="301 King St"/>
    <s v="B8Y 0C9"/>
    <s v="Nguyen Developments Inc."/>
    <n v="979389"/>
    <d v="2023-02-25T00:00:00"/>
    <s v="Mississauga"/>
    <n v="9.9000000000000008E-3"/>
    <n v="1"/>
    <s v="Farms and rural properties"/>
    <s v="Valid"/>
    <s v="Match"/>
    <s v="Valid"/>
    <s v="Unique"/>
    <s v="Valid"/>
    <s v="Valid"/>
    <s v="Valid"/>
    <s v="Complete"/>
    <n v="4842179.1619999995"/>
    <n v="12553041.036323847"/>
    <s v="Normal"/>
    <x v="0"/>
  </r>
  <r>
    <s v="2316-LON-936-00207"/>
    <s v="LON"/>
    <x v="8"/>
    <x v="2"/>
    <x v="0"/>
    <n v="1375295"/>
    <n v="9.4000000000000004E-3"/>
    <n v="12927.77"/>
    <s v="3662 Lakeshore Rd"/>
    <s v="V5T 1E3"/>
    <s v="Noah Jackson"/>
    <n v="1542780"/>
    <d v="2024-06-26T00:00:00"/>
    <s v="London"/>
    <n v="9.4000000000000004E-3"/>
    <n v="1"/>
    <s v="Farms and rural properties"/>
    <s v="Valid"/>
    <s v="Mismatch"/>
    <s v="Valid"/>
    <s v="Unique"/>
    <s v="Valid"/>
    <s v="Valid"/>
    <s v="Valid"/>
    <s v="Complete"/>
    <n v="4842179.1619999995"/>
    <n v="12553041.036323847"/>
    <s v="Normal"/>
    <x v="1"/>
  </r>
  <r>
    <s v="2315-WDR-268-00208"/>
    <s v="WDR"/>
    <x v="8"/>
    <x v="4"/>
    <x v="0"/>
    <n v="9566638"/>
    <n v="1.4999999999999999E-2"/>
    <n v="143499.57"/>
    <s v="8077 Queen St"/>
    <s v="S1L 9J3"/>
    <s v="Sophia Williams"/>
    <n v="10140312"/>
    <d v="2024-05-19T00:00:00"/>
    <s v="Windsor"/>
    <n v="1.4999999999999999E-2"/>
    <n v="1"/>
    <s v="Apartment buildings and multi-tenant residential"/>
    <s v="Valid"/>
    <s v="Match"/>
    <s v="Valid"/>
    <s v="Unique"/>
    <s v="Valid"/>
    <s v="Valid"/>
    <s v="Valid"/>
    <s v="Complete"/>
    <n v="4842179.1619999995"/>
    <n v="12553041.036323847"/>
    <s v="Normal"/>
    <x v="0"/>
  </r>
  <r>
    <s v="2115-LON-748-00209"/>
    <s v="LON"/>
    <x v="4"/>
    <x v="1"/>
    <x v="2"/>
    <n v="7064134"/>
    <n v="1.84E-2"/>
    <n v="129980.07"/>
    <s v="9657 King St"/>
    <s v="T7X 2V0"/>
    <s v="Mary Lee"/>
    <n v="8670221"/>
    <d v="2024-06-01T00:00:00"/>
    <s v="London"/>
    <n v="1.84E-2"/>
    <n v="1"/>
    <s v="Manufacturing and warehousing"/>
    <s v="Valid"/>
    <s v="Match"/>
    <s v="Valid"/>
    <s v="Unique"/>
    <s v="Valid"/>
    <s v="Valid"/>
    <s v="Valid"/>
    <s v="Complete"/>
    <n v="4842179.1619999995"/>
    <n v="12553041.036323847"/>
    <s v="Normal"/>
    <x v="0"/>
  </r>
  <r>
    <s v="2226-OSH-206-00210"/>
    <s v="OSH"/>
    <x v="2"/>
    <x v="3"/>
    <x v="1"/>
    <n v="3482309"/>
    <n v="2.0400000000000001E-2"/>
    <n v="71039.100000000006"/>
    <s v=""/>
    <s v="N8R 6K4"/>
    <s v="Olivia Taylor"/>
    <n v="3686010"/>
    <d v="2020-06-30T00:00:00"/>
    <s v="Oshawa"/>
    <n v="2.0400000000000001E-2"/>
    <n v="1"/>
    <s v="Business properties and retail"/>
    <s v="Valid"/>
    <s v="Match"/>
    <s v="Valid"/>
    <s v="Unique"/>
    <s v="Valid"/>
    <s v="Valid"/>
    <s v="Valid"/>
    <s v="Complete"/>
    <n v="4842179.1619999995"/>
    <n v="12553041.036323847"/>
    <s v="Normal"/>
    <x v="0"/>
  </r>
  <r>
    <s v="2380-HAM-981-00211"/>
    <s v="HAM"/>
    <x v="7"/>
    <x v="2"/>
    <x v="0"/>
    <n v="2948675"/>
    <n v="9.7999999999999997E-3"/>
    <n v="28897.01"/>
    <s v="5153 Elm St"/>
    <s v="J3M 5G2"/>
    <s v="Olivia Wilson"/>
    <n v="2772910"/>
    <d v="2021-12-22T00:00:00"/>
    <s v="Hamilton"/>
    <n v="9.7999999999999997E-3"/>
    <n v="1"/>
    <s v="Farms and rural properties"/>
    <s v="Valid"/>
    <s v="Match"/>
    <s v="Valid"/>
    <s v="Unique"/>
    <s v="Valid"/>
    <s v="Valid"/>
    <s v="Valid"/>
    <s v="Complete"/>
    <n v="4842179.1619999995"/>
    <n v="12553041.036323847"/>
    <s v="Normal"/>
    <x v="0"/>
  </r>
  <r>
    <s v="2478-OSH-392-00212"/>
    <s v="OSH"/>
    <x v="6"/>
    <x v="2"/>
    <x v="3"/>
    <n v="2264871"/>
    <n v="9.4000000000000004E-3"/>
    <n v="21289.79"/>
    <s v="6930 Main St"/>
    <s v="A6G 0B3"/>
    <s v="Aisha Taylor"/>
    <n v="2580111"/>
    <d v="2021-10-27T00:00:00"/>
    <s v="Oshawa"/>
    <n v="9.4000000000000004E-3"/>
    <n v="1"/>
    <s v="Farms and rural properties"/>
    <s v="Valid"/>
    <s v="Mismatch"/>
    <s v="Valid"/>
    <s v="Unique"/>
    <s v="Valid"/>
    <s v="Valid"/>
    <s v="Valid"/>
    <s v="Complete"/>
    <n v="4842179.1619999995"/>
    <n v="12553041.036323847"/>
    <s v="Normal"/>
    <x v="1"/>
  </r>
  <r>
    <s v="2214-TOR-467-00213"/>
    <s v="TOR"/>
    <x v="1"/>
    <x v="1"/>
    <x v="1"/>
    <n v="7028134"/>
    <n v="1.7500000000000002E-2"/>
    <n v="130020.48"/>
    <s v="7425 King St"/>
    <s v="Y3Y 6K8"/>
    <s v="White Developments Inc."/>
    <n v="8029837"/>
    <d v="2019-07-12T00:00:00"/>
    <s v="Toronto"/>
    <n v="1.8499999999999999E-2"/>
    <n v="1"/>
    <s v="Manufacturing and warehousing"/>
    <s v="Valid"/>
    <s v="Match"/>
    <s v="Valid"/>
    <s v="Unique"/>
    <s v="Valid"/>
    <s v="Valid"/>
    <s v="Valid"/>
    <s v="Complete"/>
    <n v="4842179.1619999995"/>
    <n v="12553041.036323847"/>
    <s v="Normal"/>
    <x v="0"/>
  </r>
  <r>
    <s v="2497-BRN-420-00214"/>
    <s v="BRN"/>
    <x v="3"/>
    <x v="2"/>
    <x v="3"/>
    <n v="3685127"/>
    <n v="9.5999999999999992E-3"/>
    <n v="35377.22"/>
    <s v="9056 Main St, Suite 7"/>
    <s v="T3P 9Y9"/>
    <s v="Daniel Taylor"/>
    <n v="3895493"/>
    <d v="2024-10-30T00:00:00"/>
    <s v="Brampton"/>
    <n v="9.5999999999999992E-3"/>
    <n v="1"/>
    <s v="Farms and rural properties"/>
    <s v="Valid"/>
    <s v="Match"/>
    <s v="Valid"/>
    <s v="Unique"/>
    <s v="Valid"/>
    <s v="Valid"/>
    <s v="Valid"/>
    <s v="Complete"/>
    <n v="4842179.1619999995"/>
    <n v="12553041.036323847"/>
    <s v="Normal"/>
    <x v="0"/>
  </r>
  <r>
    <s v="2225-OTT-486-00215"/>
    <s v="OTT"/>
    <x v="0"/>
    <x v="3"/>
    <x v="1"/>
    <n v="3503817"/>
    <n v="2.01E-2"/>
    <n v="70426.720000000001"/>
    <s v="675 Wellington St"/>
    <s v="L2H 9L0"/>
    <s v="Michael Smith"/>
    <n v="3341927"/>
    <d v="2022-08-14T00:00:00"/>
    <s v="Ottawa"/>
    <n v="2.01E-2"/>
    <n v="1"/>
    <s v="Business properties and retail"/>
    <s v="Valid"/>
    <s v="Match"/>
    <s v="Valid"/>
    <s v="Unique"/>
    <s v="Valid"/>
    <s v="Valid"/>
    <s v="Valid"/>
    <s v="Complete"/>
    <n v="4842179.1619999995"/>
    <n v="12553041.036323847"/>
    <s v="Normal"/>
    <x v="0"/>
  </r>
  <r>
    <s v="2383-GUE-663-00216"/>
    <s v="GUE"/>
    <x v="5"/>
    <x v="0"/>
    <x v="0"/>
    <n v="764276"/>
    <n v="1.2500000000000001E-2"/>
    <n v="9553.4500000000007"/>
    <s v="5876 King St"/>
    <s v="N8K 2X1"/>
    <s v="Johnson Investments Inc."/>
    <n v="833120"/>
    <d v="2022-04-06T00:00:00"/>
    <s v="Guelph"/>
    <n v="1.2500000000000001E-2"/>
    <n v="1"/>
    <s v="Single-family and multi-unit homes"/>
    <s v="Valid"/>
    <s v="Match"/>
    <s v="Valid"/>
    <s v="Unique"/>
    <s v="Valid"/>
    <s v="Valid"/>
    <s v="Valid"/>
    <s v="Complete"/>
    <n v="4842179.1619999995"/>
    <n v="12553041.036323847"/>
    <s v="Normal"/>
    <x v="0"/>
  </r>
  <r>
    <s v="2294-OTT-439-00217"/>
    <s v="OTT"/>
    <x v="1"/>
    <x v="1"/>
    <x v="1"/>
    <n v="8579819"/>
    <n v="1.8100000000000002E-2"/>
    <n v="155294.72"/>
    <s v="5434 Victoria Rd"/>
    <s v="X7Y 0E5"/>
    <s v="Grace Smith"/>
    <n v="9771496"/>
    <d v="2022-08-07T00:00:00"/>
    <s v="Ottawa"/>
    <n v="1.8100000000000002E-2"/>
    <n v="1"/>
    <s v="Manufacturing and warehousing"/>
    <s v="Valid"/>
    <s v="Mismatch"/>
    <s v="Valid"/>
    <s v="Unique"/>
    <s v="Valid"/>
    <s v="Valid"/>
    <s v="Valid"/>
    <s v="Complete"/>
    <n v="4842179.1619999995"/>
    <n v="12553041.036323847"/>
    <s v="Normal"/>
    <x v="1"/>
  </r>
  <r>
    <s v="2446-BRN-125-00218"/>
    <s v="BRN"/>
    <x v="3"/>
    <x v="0"/>
    <x v="3"/>
    <n v="608183"/>
    <n v="1.26E-2"/>
    <n v="7563.11"/>
    <s v="8478 Victoria Rd"/>
    <s v="X7V 0M3"/>
    <s v="David Brown"/>
    <n v="582997"/>
    <d v="2024-01-07T00:00:00"/>
    <s v="Brampton"/>
    <n v="1.26E-2"/>
    <n v="1"/>
    <s v="Single-family and multi-unit homes"/>
    <s v="Valid"/>
    <s v="Match"/>
    <s v="Mismatch"/>
    <s v="Unique"/>
    <s v="Valid"/>
    <s v="Valid"/>
    <s v="Valid"/>
    <s v="Complete"/>
    <n v="4842179.1619999995"/>
    <n v="12553041.036323847"/>
    <s v="Normal"/>
    <x v="1"/>
  </r>
  <r>
    <s v="2190-OSH-892-00219"/>
    <s v="OSH"/>
    <x v="2"/>
    <x v="0"/>
    <x v="2"/>
    <n v="574639"/>
    <n v="1.24E-2"/>
    <n v="7125.52"/>
    <s v="3502 Park Ave"/>
    <s v="E3Y 6C2"/>
    <s v="Olivia Smith"/>
    <n v="534778"/>
    <d v="2019-08-11T00:00:00"/>
    <s v="Oshawa"/>
    <n v="1.24E-2"/>
    <n v="1"/>
    <s v="Single-family and multi-unit homes"/>
    <s v="Valid"/>
    <s v="Match"/>
    <s v="Valid"/>
    <s v="Unique"/>
    <s v="Valid"/>
    <s v="Valid"/>
    <s v="Valid"/>
    <s v="Complete"/>
    <n v="4842179.1619999995"/>
    <n v="12553041.036323847"/>
    <s v="Normal"/>
    <x v="0"/>
  </r>
  <r>
    <s v="2139-HAM-364-00220"/>
    <s v="HAM"/>
    <x v="7"/>
    <x v="1"/>
    <x v="2"/>
    <n v="5470086"/>
    <n v="1.8800000000000001E-2"/>
    <n v="102837.62"/>
    <s v="6688 Wellington St"/>
    <s v="R6N 0R1"/>
    <s v="David White"/>
    <n v="6351223"/>
    <d v="2019-07-06T00:00:00"/>
    <s v="Hamilton"/>
    <n v="1.8800000000000001E-2"/>
    <n v="1"/>
    <s v="Manufacturing and warehousing"/>
    <s v="Valid"/>
    <s v="Match"/>
    <s v="Valid"/>
    <s v="Unique"/>
    <s v="Valid"/>
    <s v="Valid"/>
    <s v="Valid"/>
    <s v="Complete"/>
    <n v="4842179.1619999995"/>
    <n v="12553041.036323847"/>
    <s v="Normal"/>
    <x v="0"/>
  </r>
  <r>
    <s v="2197-OTT-408-00221"/>
    <s v="OTT"/>
    <x v="0"/>
    <x v="1"/>
    <x v="2"/>
    <n v="3559408"/>
    <n v="1.8100000000000002E-2"/>
    <n v="64425.279999999999"/>
    <s v="9947 King St"/>
    <s v="T6R 0V2"/>
    <s v="Michael Wilson"/>
    <n v="3690563"/>
    <d v="2025-02-13T00:00:00"/>
    <s v="Ottawa"/>
    <n v="1.8100000000000002E-2"/>
    <n v="1"/>
    <s v="Manufacturing and warehousing"/>
    <s v="Valid"/>
    <s v="Match"/>
    <s v="Valid"/>
    <s v="Unique"/>
    <s v="Valid"/>
    <s v="Valid"/>
    <s v="Valid"/>
    <s v="Complete"/>
    <n v="4842179.1619999995"/>
    <n v="12553041.036323847"/>
    <s v="Normal"/>
    <x v="0"/>
  </r>
  <r>
    <s v="2392-WDR-482-00222"/>
    <s v="WDR"/>
    <x v="8"/>
    <x v="6"/>
    <x v="0"/>
    <n v="3244975"/>
    <n v="2.07E-2"/>
    <n v="67170.98"/>
    <s v="192 Elm St"/>
    <s v="G1B 0R8"/>
    <s v="David Taylor"/>
    <n v="3159043"/>
    <d v="2024-02-27T00:00:00"/>
    <s v="Windsor"/>
    <m/>
    <n v="1"/>
    <m/>
    <s v="Valid"/>
    <s v="Match"/>
    <s v="Mismatch"/>
    <s v="Unique"/>
    <s v="Valid"/>
    <s v="Invalid"/>
    <s v="Valid"/>
    <s v="Complete"/>
    <n v="4842179.1619999995"/>
    <n v="12553041.036323847"/>
    <s v="Normal"/>
    <x v="1"/>
  </r>
  <r>
    <s v="2475-KIN-245-00223"/>
    <s v="KIN"/>
    <x v="10"/>
    <x v="3"/>
    <x v="3"/>
    <n v="4510158"/>
    <n v="2.0299999999999999E-2"/>
    <n v="91556.21"/>
    <s v="2647 Queen St, Suite 7"/>
    <s v="E2B 8T8"/>
    <s v="David Taylor"/>
    <n v="4214160"/>
    <d v="2025-01-26T00:00:00"/>
    <s v="Kingston"/>
    <n v="2.0299999999999999E-2"/>
    <n v="1"/>
    <s v="Business properties and retail"/>
    <s v="Valid"/>
    <s v="Match"/>
    <s v="Valid"/>
    <s v="Unique"/>
    <s v="Valid"/>
    <s v="Valid"/>
    <s v="Valid"/>
    <s v="Complete"/>
    <n v="4842179.1619999995"/>
    <n v="12553041.036323847"/>
    <s v="Normal"/>
    <x v="0"/>
  </r>
  <r>
    <s v="2395-GUE-771-00224"/>
    <s v="GUE"/>
    <x v="5"/>
    <x v="2"/>
    <x v="0"/>
    <n v="1360107"/>
    <n v="9.4999999999999998E-3"/>
    <n v="12921.02"/>
    <s v="3852 King St"/>
    <s v="C3N 7T5"/>
    <s v="Fatima Wilson"/>
    <n v="1502183"/>
    <d v="2023-03-04T00:00:00"/>
    <s v="Guelph"/>
    <n v="9.4999999999999998E-3"/>
    <n v="1"/>
    <s v="Farms and rural properties"/>
    <s v="Valid"/>
    <s v="Match"/>
    <s v="Valid"/>
    <s v="Unique"/>
    <s v="Valid"/>
    <s v="Valid"/>
    <s v="Valid"/>
    <s v="Complete"/>
    <n v="4842179.1619999995"/>
    <n v="12553041.036323847"/>
    <s v="Normal"/>
    <x v="0"/>
  </r>
  <r>
    <s v="2331-GUE-104-00225"/>
    <s v="GUE"/>
    <x v="5"/>
    <x v="1"/>
    <x v="0"/>
    <n v="9963499"/>
    <n v="1.8499999999999999E-2"/>
    <n v="184324.73"/>
    <s v="5141 Maple Ave"/>
    <s v="S4P 2N7"/>
    <s v="Noah White"/>
    <n v="10032398"/>
    <d v="2023-02-03T00:00:00"/>
    <s v="Guelph"/>
    <n v="1.8499999999999999E-2"/>
    <n v="1"/>
    <s v="Manufacturing and warehousing"/>
    <s v="Valid"/>
    <s v="Match"/>
    <s v="Valid"/>
    <s v="Unique"/>
    <s v="Valid"/>
    <s v="Valid"/>
    <s v="Valid"/>
    <s v="Complete"/>
    <n v="4842179.1619999995"/>
    <n v="12553041.036323847"/>
    <s v="Normal"/>
    <x v="0"/>
  </r>
  <r>
    <s v="2127-OTT-651-00226"/>
    <s v="OTT"/>
    <x v="0"/>
    <x v="3"/>
    <x v="2"/>
    <n v="42081010"/>
    <n v="2.01E-2"/>
    <n v="845828.3"/>
    <s v="3228 Church St"/>
    <s v="C1A 8A9"/>
    <s v="Daniel Clark"/>
    <n v="3716132"/>
    <d v="2021-12-03T00:00:00"/>
    <s v="Ottawa"/>
    <n v="2.01E-2"/>
    <n v="1"/>
    <s v="Business properties and retail"/>
    <s v="Valid"/>
    <s v="Match"/>
    <s v="Valid"/>
    <s v="Unique"/>
    <s v="Valid"/>
    <s v="Valid"/>
    <s v="Valid"/>
    <s v="Complete"/>
    <n v="4842179.1619999995"/>
    <n v="12553041.036323847"/>
    <s v="Normal"/>
    <x v="0"/>
  </r>
  <r>
    <s v="2429-OSH-474-00227"/>
    <s v="OSH"/>
    <x v="2"/>
    <x v="4"/>
    <x v="3"/>
    <n v="8910117"/>
    <n v="1.47E-2"/>
    <n v="130978.72"/>
    <s v="6440 Maple Ave"/>
    <s v="M2T 8X1"/>
    <s v="Ethan Smith"/>
    <n v="10085695"/>
    <d v="2024-06-11T00:00:00"/>
    <s v="Oshawa"/>
    <n v="1.47E-2"/>
    <n v="1"/>
    <s v="Apartment buildings and multi-tenant residential"/>
    <s v="Valid"/>
    <s v="Match"/>
    <s v="Valid"/>
    <s v="Unique"/>
    <s v="Valid"/>
    <s v="Valid"/>
    <s v="Valid"/>
    <s v="Complete"/>
    <n v="4842179.1619999995"/>
    <n v="12553041.036323847"/>
    <s v="Normal"/>
    <x v="0"/>
  </r>
  <r>
    <s v="2232-HAM-679-00228"/>
    <s v="HAM"/>
    <x v="7"/>
    <x v="4"/>
    <x v="1"/>
    <n v="6501768"/>
    <n v="1.5100000000000001E-2"/>
    <n v="98176.7"/>
    <s v="9280 Park Ave"/>
    <s v="G7P 0K7"/>
    <s v="James Anderson"/>
    <n v="6384128"/>
    <d v="2021-04-26T00:00:00"/>
    <s v="Hamilton"/>
    <n v="1.5100000000000001E-2"/>
    <n v="1"/>
    <s v="Apartment buildings and multi-tenant residential"/>
    <s v="Valid"/>
    <s v="Match"/>
    <s v="Valid"/>
    <s v="Unique"/>
    <s v="Valid"/>
    <s v="Valid"/>
    <s v="Valid"/>
    <s v="Complete"/>
    <n v="4842179.1619999995"/>
    <n v="12553041.036323847"/>
    <s v="Normal"/>
    <x v="0"/>
  </r>
  <r>
    <s v="2468-OSH-147-00229"/>
    <s v="OSH"/>
    <x v="2"/>
    <x v="1"/>
    <x v="3"/>
    <n v="4706011"/>
    <n v="1.84E-2"/>
    <n v="86590.6"/>
    <s v="663 Park Ave"/>
    <s v="X4L 9Y9"/>
    <s v="Sophia Anderson"/>
    <n v="5203378"/>
    <d v="2021-06-09T00:00:00"/>
    <s v="Oshawa"/>
    <n v="1.84E-2"/>
    <n v="1"/>
    <s v="Manufacturing and warehousing"/>
    <s v="Valid"/>
    <s v="Match"/>
    <s v="Valid"/>
    <s v="Unique"/>
    <s v="Valid"/>
    <s v="Valid"/>
    <s v="Valid"/>
    <s v="Complete"/>
    <n v="4842179.1619999995"/>
    <n v="12553041.036323847"/>
    <s v="Normal"/>
    <x v="0"/>
  </r>
  <r>
    <s v="2438-OSH-628-00230"/>
    <s v="OSH"/>
    <x v="2"/>
    <x v="1"/>
    <x v="3"/>
    <n v="10344303"/>
    <n v="1.84E-2"/>
    <n v="190335.18"/>
    <s v="6659 Victoria Rd"/>
    <s v="P7V 9A8"/>
    <s v="Martin Properties Inc."/>
    <n v="10142556"/>
    <d v="2023-11-20T00:00:00"/>
    <s v="Oshawa"/>
    <n v="1.84E-2"/>
    <n v="1"/>
    <s v="Manufacturing and warehousing"/>
    <s v="Valid"/>
    <s v="Match"/>
    <s v="Valid"/>
    <s v="Unique"/>
    <s v="Valid"/>
    <s v="Valid"/>
    <s v="Valid"/>
    <s v="Complete"/>
    <n v="4842179.1619999995"/>
    <n v="12553041.036323847"/>
    <s v="Normal"/>
    <x v="0"/>
  </r>
  <r>
    <s v="2256-WDR-716-00231"/>
    <s v="WDR"/>
    <x v="8"/>
    <x v="3"/>
    <x v="1"/>
    <n v="1610512"/>
    <n v="1.8700000000000001E-2"/>
    <n v="33337.599999999999"/>
    <s v="1948 Park Ave, Suite 24"/>
    <s v="E7V 7J9"/>
    <s v="Liam Smith"/>
    <n v="1586813"/>
    <d v="2020-06-07T00:00:00"/>
    <s v="Windsor"/>
    <n v="2.07E-2"/>
    <n v="1"/>
    <s v="Business properties and retail"/>
    <s v="Valid"/>
    <s v="Match"/>
    <s v="Valid"/>
    <s v="Unique"/>
    <s v="Valid"/>
    <s v="Valid"/>
    <s v="Valid"/>
    <s v="Complete"/>
    <n v="4842179.1619999995"/>
    <n v="12553041.036323847"/>
    <s v="Normal"/>
    <x v="0"/>
  </r>
  <r>
    <s v="2275-GUE-140-00232"/>
    <s v="GUE"/>
    <x v="5"/>
    <x v="4"/>
    <x v="1"/>
    <n v="3556141"/>
    <n v="1.4800000000000001E-2"/>
    <n v="52630.89"/>
    <s v="9386 Queen St, Suite 30"/>
    <s v="H8R 9A4"/>
    <s v="Williams Investments Inc."/>
    <n v="3955439"/>
    <d v="2024-04-14T00:00:00"/>
    <s v="Guelph"/>
    <n v="1.4800000000000001E-2"/>
    <n v="1"/>
    <s v="Apartment buildings and multi-tenant residential"/>
    <s v="Valid"/>
    <s v="Match"/>
    <s v="Valid"/>
    <s v="Unique"/>
    <s v="Valid"/>
    <s v="Valid"/>
    <s v="Valid"/>
    <s v="Complete"/>
    <n v="4842179.1619999995"/>
    <n v="12553041.036323847"/>
    <s v="Normal"/>
    <x v="0"/>
  </r>
  <r>
    <s v="2286-MSS-246-00233"/>
    <s v="MSS"/>
    <x v="6"/>
    <x v="3"/>
    <x v="1"/>
    <n v="4002539"/>
    <n v="2.0899999999999998E-2"/>
    <n v="83653.070000000007"/>
    <s v="9556 Queen St"/>
    <s v="123 456"/>
    <s v="Grace Thomas"/>
    <n v="4142274"/>
    <d v="2020-03-20T00:00:00"/>
    <s v="Mississauga"/>
    <n v="2.0899999999999998E-2"/>
    <n v="1"/>
    <s v="Business properties and retail"/>
    <s v="Valid"/>
    <s v="Match"/>
    <s v="Valid"/>
    <s v="Unique"/>
    <s v="Valid"/>
    <s v="Valid"/>
    <s v="Valid"/>
    <s v="Complete"/>
    <n v="4842179.1619999995"/>
    <n v="12553041.036323847"/>
    <s v="Normal"/>
    <x v="0"/>
  </r>
  <r>
    <s v="2487-TOR-198-00234"/>
    <s v="TOR"/>
    <x v="1"/>
    <x v="3"/>
    <x v="3"/>
    <n v="3980003"/>
    <n v="1.95E-2"/>
    <n v="81590.06"/>
    <s v="2916 Lakeshore Rd"/>
    <s v="B8X 1C7"/>
    <s v="Ella Jackson"/>
    <n v="3583675"/>
    <d v="2024-10-21T00:00:00"/>
    <s v="Toronto"/>
    <n v="2.0500000000000001E-2"/>
    <n v="1"/>
    <s v="Business properties and retail"/>
    <s v="Valid"/>
    <s v="Match"/>
    <s v="Valid"/>
    <s v="Unique"/>
    <s v="Valid"/>
    <s v="Valid"/>
    <s v="Valid"/>
    <s v="Complete"/>
    <n v="4842179.1619999995"/>
    <n v="12553041.036323847"/>
    <s v="Normal"/>
    <x v="0"/>
  </r>
  <r>
    <s v="2415-BRN-814-00235"/>
    <s v="BRN"/>
    <x v="3"/>
    <x v="4"/>
    <x v="3"/>
    <n v="5739654"/>
    <n v="1.49E-2"/>
    <n v="85820.84"/>
    <s v="8690 Wellington St, Suite 26"/>
    <s v="R5E 6G4"/>
    <s v="Grace Clark"/>
    <n v="6891423"/>
    <d v="2022-08-04T00:00:00"/>
    <s v="Brampton"/>
    <n v="1.49E-2"/>
    <n v="1"/>
    <s v="Apartment buildings and multi-tenant residential"/>
    <s v="Valid"/>
    <s v="Match"/>
    <s v="Mismatch"/>
    <s v="Unique"/>
    <s v="Valid"/>
    <s v="Valid"/>
    <s v="Valid"/>
    <s v="Complete"/>
    <n v="4842179.1619999995"/>
    <n v="12553041.036323847"/>
    <s v="Normal"/>
    <x v="1"/>
  </r>
  <r>
    <s v="2410-GUE-826-00236"/>
    <s v="GUE"/>
    <x v="5"/>
    <x v="4"/>
    <x v="3"/>
    <n v="4688665"/>
    <n v="1.4800000000000001E-2"/>
    <n v="69392.240000000005"/>
    <s v="126 Cedar Ave"/>
    <s v="X0R 3N6"/>
    <s v="Michael Thomas"/>
    <n v="5289056"/>
    <d v="2022-06-04T00:00:00"/>
    <s v="Guelph"/>
    <n v="1.4800000000000001E-2"/>
    <n v="1"/>
    <s v="Apartment buildings and multi-tenant residential"/>
    <s v="Valid"/>
    <s v="Match"/>
    <s v="Valid"/>
    <s v="Unique"/>
    <s v="Valid"/>
    <s v="Valid"/>
    <s v="Valid"/>
    <s v="Complete"/>
    <n v="4842179.1619999995"/>
    <n v="12553041.036323847"/>
    <s v="Normal"/>
    <x v="0"/>
  </r>
  <r>
    <s v="2488-WDR-382-00237"/>
    <s v="WDR"/>
    <x v="8"/>
    <x v="7"/>
    <x v="3"/>
    <n v="7805363"/>
    <n v="1.4999999999999999E-2"/>
    <n v="117080.44"/>
    <s v="6521 Maple Ave"/>
    <s v="Y7H 5Y8"/>
    <s v="Fatima Patel"/>
    <n v="7965566"/>
    <d v="2024-12-15T00:00:00"/>
    <s v="Windsor"/>
    <m/>
    <n v="1"/>
    <m/>
    <s v="Valid"/>
    <s v="Match"/>
    <s v="Mismatch"/>
    <s v="Unique"/>
    <s v="Valid"/>
    <s v="Invalid"/>
    <s v="Valid"/>
    <s v="Complete"/>
    <n v="4842179.1619999995"/>
    <n v="12553041.036323847"/>
    <s v="Normal"/>
    <x v="1"/>
  </r>
  <r>
    <s v="2167-BRN-901-00238"/>
    <s v="BRN"/>
    <x v="3"/>
    <x v="3"/>
    <x v="2"/>
    <n v="3564551"/>
    <n v="2.06E-2"/>
    <n v="73179.75"/>
    <s v="2660 King St, Suite 26"/>
    <s v="N8B 2R0"/>
    <s v="Jackson Properties Inc."/>
    <n v="3796546"/>
    <d v="2023-11-19T00:00:00"/>
    <s v="Brampton"/>
    <n v="2.06E-2"/>
    <n v="1"/>
    <s v="Business properties and retail"/>
    <s v="Valid"/>
    <s v="Match"/>
    <s v="Mismatch"/>
    <s v="Unique"/>
    <s v="Valid"/>
    <s v="Valid"/>
    <s v="Valid"/>
    <s v="Complete"/>
    <n v="4842179.1619999995"/>
    <n v="12553041.036323847"/>
    <s v="Normal"/>
    <x v="1"/>
  </r>
  <r>
    <s v="2320-OTT-723-00239"/>
    <s v="OTT"/>
    <x v="0"/>
    <x v="0"/>
    <x v="0"/>
    <n v="582994"/>
    <n v="1.21E-2"/>
    <n v="7134.23"/>
    <s v="628 Wellington St"/>
    <s v="R9X 4B2"/>
    <s v="Emma Smith"/>
    <n v="565853"/>
    <d v="2023-09-07T00:00:00"/>
    <s v="Ottawa"/>
    <n v="1.21E-2"/>
    <n v="1"/>
    <s v="Single-family and multi-unit homes"/>
    <s v="Valid"/>
    <s v="Match"/>
    <s v="Mismatch"/>
    <s v="Unique"/>
    <s v="Valid"/>
    <s v="Valid"/>
    <s v="Valid"/>
    <s v="Complete"/>
    <n v="4842179.1619999995"/>
    <n v="12553041.036323847"/>
    <s v="Normal"/>
    <x v="1"/>
  </r>
  <r>
    <s v="2286-OSH-622-00240"/>
    <s v="OSH"/>
    <x v="2"/>
    <x v="1"/>
    <x v="1"/>
    <n v="1598089"/>
    <n v="1.84E-2"/>
    <n v="29404.84"/>
    <s v="8461 Maple Ave"/>
    <s v="B5K 0H1"/>
    <s v="White Investments Inc."/>
    <n v="1635795"/>
    <d v="2023-06-07T00:00:00"/>
    <s v="Oshawa"/>
    <n v="1.84E-2"/>
    <n v="1"/>
    <s v="Manufacturing and warehousing"/>
    <s v="Valid"/>
    <s v="Match"/>
    <s v="Valid"/>
    <s v="Unique"/>
    <s v="Valid"/>
    <s v="Valid"/>
    <s v="Valid"/>
    <s v="Complete"/>
    <n v="4842179.1619999995"/>
    <n v="12553041.036323847"/>
    <s v="Normal"/>
    <x v="0"/>
  </r>
  <r>
    <s v="2218-BRN-192-00241"/>
    <s v="BRN"/>
    <x v="3"/>
    <x v="4"/>
    <x v="1"/>
    <n v="7269944"/>
    <n v="1.49E-2"/>
    <n v="108322.17"/>
    <s v="9014 Church St"/>
    <s v="Y9P 5L3"/>
    <s v="Daniel Martin"/>
    <n v="8908588"/>
    <d v="2019-01-20T00:00:00"/>
    <s v="Brampton"/>
    <n v="1.49E-2"/>
    <n v="1"/>
    <s v="Apartment buildings and multi-tenant residential"/>
    <s v="Valid"/>
    <s v="Match"/>
    <s v="Valid"/>
    <s v="Unique"/>
    <s v="Valid"/>
    <s v="Valid"/>
    <s v="Valid"/>
    <s v="Complete"/>
    <n v="4842179.1619999995"/>
    <n v="12553041.036323847"/>
    <s v="Normal"/>
    <x v="0"/>
  </r>
  <r>
    <s v="2481-WDR-174-00242"/>
    <s v="WDR"/>
    <x v="8"/>
    <x v="3"/>
    <x v="3"/>
    <n v="2592174"/>
    <n v="2.07E-2"/>
    <n v="53658"/>
    <s v="8253 Church St"/>
    <s v="E8L 8L7"/>
    <s v="Patel Investments Inc."/>
    <n v="3031518"/>
    <d v="2022-11-27T00:00:00"/>
    <s v="Windsor"/>
    <n v="2.07E-2"/>
    <n v="1"/>
    <s v="Business properties and retail"/>
    <s v="Valid"/>
    <s v="Match"/>
    <s v="Valid"/>
    <s v="Unique"/>
    <s v="Valid"/>
    <s v="Valid"/>
    <s v="Valid"/>
    <s v="Complete"/>
    <n v="4842179.1619999995"/>
    <n v="12553041.036323847"/>
    <s v="Normal"/>
    <x v="0"/>
  </r>
  <r>
    <s v="2143-MSS-169-00243"/>
    <s v="MSS"/>
    <x v="6"/>
    <x v="2"/>
    <x v="2"/>
    <n v="1681400"/>
    <n v="9.9000000000000008E-3"/>
    <n v="16645.86"/>
    <s v="6279 Park Ave"/>
    <s v="K3N 6P8"/>
    <s v="James Williams"/>
    <n v="1682327"/>
    <d v="2023-06-23T00:00:00"/>
    <s v="Mississauga"/>
    <n v="9.9000000000000008E-3"/>
    <n v="1"/>
    <s v="Farms and rural properties"/>
    <s v="Valid"/>
    <s v="Match"/>
    <s v="Valid"/>
    <s v="Unique"/>
    <s v="Valid"/>
    <s v="Valid"/>
    <s v="Valid"/>
    <s v="Complete"/>
    <n v="4842179.1619999995"/>
    <n v="12553041.036323847"/>
    <s v="Normal"/>
    <x v="0"/>
  </r>
  <r>
    <s v="2255-KIN-323-00244"/>
    <s v="KIN"/>
    <x v="10"/>
    <x v="0"/>
    <x v="1"/>
    <n v="8588130"/>
    <n v="1.23E-2"/>
    <n v="9277.14"/>
    <s v="9409 Church St, Apt 22"/>
    <s v="J7J 3K4"/>
    <s v="Daniel Jackson"/>
    <n v="744731"/>
    <d v="2022-12-29T00:00:00"/>
    <s v="Kingston"/>
    <n v="1.23E-2"/>
    <n v="1"/>
    <s v="Single-family and multi-unit homes"/>
    <s v="Valid"/>
    <s v="Match"/>
    <s v="Mismatch"/>
    <s v="Unique"/>
    <s v="Valid"/>
    <s v="Valid"/>
    <s v="Valid"/>
    <s v="Complete"/>
    <n v="4842179.1619999995"/>
    <n v="12553041.036323847"/>
    <s v="Normal"/>
    <x v="1"/>
  </r>
  <r>
    <s v="2196-HAM-779-00245"/>
    <s v="HAM"/>
    <x v="7"/>
    <x v="0"/>
    <x v="2"/>
    <n v="1208795"/>
    <n v="1.2800000000000001E-2"/>
    <n v="15472.58"/>
    <s v="8081 Cedar Ave, Apt 2"/>
    <s v="V5N 7L7"/>
    <s v="Ethan Taylor"/>
    <n v="1256250"/>
    <d v="2020-06-09T00:00:00"/>
    <s v="Hamilton"/>
    <n v="1.2800000000000001E-2"/>
    <n v="1"/>
    <s v="Single-family and multi-unit homes"/>
    <s v="Valid"/>
    <s v="Match"/>
    <s v="Valid"/>
    <s v="Unique"/>
    <s v="Valid"/>
    <s v="Valid"/>
    <s v="Valid"/>
    <s v="Complete"/>
    <n v="4842179.1619999995"/>
    <n v="12553041.036323847"/>
    <s v="Normal"/>
    <x v="0"/>
  </r>
  <r>
    <s v="2479-TOR-133-00246"/>
    <s v="TOR"/>
    <x v="1"/>
    <x v="4"/>
    <x v="3"/>
    <n v="6839988"/>
    <n v="1.4800000000000001E-2"/>
    <n v="101231.82"/>
    <s v="8242 Victoria Rd"/>
    <s v="H7E 8T5"/>
    <s v="John Nguyen"/>
    <n v="6660530"/>
    <d v="2024-04-04T00:00:00"/>
    <s v="Toronto"/>
    <n v="1.4800000000000001E-2"/>
    <n v="1"/>
    <s v="Apartment buildings and multi-tenant residential"/>
    <s v="Valid"/>
    <s v="Match"/>
    <s v="Valid"/>
    <s v="Unique"/>
    <s v="Valid"/>
    <s v="Valid"/>
    <s v="Valid"/>
    <s v="Complete"/>
    <n v="4842179.1619999995"/>
    <n v="12553041.036323847"/>
    <s v="Normal"/>
    <x v="0"/>
  </r>
  <r>
    <s v="2343-OTT-291-00247"/>
    <s v="OTT"/>
    <x v="3"/>
    <x v="1"/>
    <x v="0"/>
    <n v="5767336"/>
    <n v="1.8100000000000002E-2"/>
    <n v="104388.78"/>
    <s v="8997 Church St, Suite 20"/>
    <s v="N5H 7S3"/>
    <s v="Noah Anderson"/>
    <n v="6915117"/>
    <d v="2021-07-26T00:00:00"/>
    <s v="Ottawa"/>
    <n v="1.8100000000000002E-2"/>
    <n v="1"/>
    <s v="Manufacturing and warehousing"/>
    <s v="Valid"/>
    <s v="Mismatch"/>
    <s v="Valid"/>
    <s v="Unique"/>
    <s v="Valid"/>
    <s v="Valid"/>
    <s v="Valid"/>
    <s v="Complete"/>
    <n v="4842179.1619999995"/>
    <n v="12553041.036323847"/>
    <s v="Normal"/>
    <x v="1"/>
  </r>
  <r>
    <s v="2297-MSS-334-00248"/>
    <s v="MSS"/>
    <x v="6"/>
    <x v="3"/>
    <x v="1"/>
    <n v="5301779"/>
    <n v="2.0899999999999998E-2"/>
    <n v="110807.18"/>
    <s v="1646 Church St"/>
    <s v="Y6R 3G2"/>
    <s v="John Johnson"/>
    <n v="5553784"/>
    <d v="2020-07-04T00:00:00"/>
    <s v="Mississauga"/>
    <n v="2.0899999999999998E-2"/>
    <n v="1"/>
    <s v="Business properties and retail"/>
    <s v="Valid"/>
    <s v="Match"/>
    <s v="Valid"/>
    <s v="Unique"/>
    <s v="Valid"/>
    <s v="Valid"/>
    <s v="Valid"/>
    <s v="Complete"/>
    <n v="4842179.1619999995"/>
    <n v="12553041.036323847"/>
    <s v="Normal"/>
    <x v="0"/>
  </r>
  <r>
    <s v="2348-OSH-356-00249"/>
    <s v="OSH"/>
    <x v="2"/>
    <x v="4"/>
    <x v="0"/>
    <n v="10841116"/>
    <n v="1.47E-2"/>
    <n v="159364.41"/>
    <s v="9220 Cedar Ave, Unit 23"/>
    <s v="H0J 4V1"/>
    <s v="Olivia Taylor"/>
    <n v="11126635"/>
    <d v="2023-02-21T00:00:00"/>
    <s v="Oshawa"/>
    <n v="1.47E-2"/>
    <n v="1"/>
    <s v="Apartment buildings and multi-tenant residential"/>
    <s v="Valid"/>
    <s v="Match"/>
    <s v="Valid"/>
    <s v="Unique"/>
    <s v="Valid"/>
    <s v="Valid"/>
    <s v="Valid"/>
    <s v="Complete"/>
    <n v="4842179.1619999995"/>
    <n v="12553041.036323847"/>
    <s v="Normal"/>
    <x v="0"/>
  </r>
  <r>
    <s v="2325-OSH-459-00250"/>
    <s v="OSH"/>
    <x v="2"/>
    <x v="1"/>
    <x v="0"/>
    <n v="1366759"/>
    <n v="1.84E-2"/>
    <n v="25148.37"/>
    <s v="9931 Maple Ave"/>
    <s v="Y2M 5N8"/>
    <s v="Emma Clark"/>
    <n v="1267591"/>
    <d v="2023-06-10T00:00:00"/>
    <s v="Oshawa"/>
    <n v="1.84E-2"/>
    <n v="1"/>
    <s v="Manufacturing and warehousing"/>
    <s v="Valid"/>
    <s v="Match"/>
    <s v="Valid"/>
    <s v="Unique"/>
    <s v="Valid"/>
    <s v="Valid"/>
    <s v="Valid"/>
    <s v="Complete"/>
    <n v="4842179.1619999995"/>
    <n v="12553041.036323847"/>
    <s v="Normal"/>
    <x v="0"/>
  </r>
  <r>
    <s v="2291-WDR-927-00251"/>
    <s v="WDR"/>
    <x v="8"/>
    <x v="2"/>
    <x v="1"/>
    <n v="3078592"/>
    <n v="9.7000000000000003E-3"/>
    <n v="29862.34"/>
    <s v="5537 Wellington St"/>
    <s v="R1C 2N3"/>
    <s v="Fatima Wilson"/>
    <n v="3058936"/>
    <d v="2023-06-08T00:00:00"/>
    <s v="Windsor"/>
    <n v="9.7000000000000003E-3"/>
    <n v="1"/>
    <s v="Farms and rural properties"/>
    <s v="Valid"/>
    <s v="Match"/>
    <s v="Valid"/>
    <s v="Unique"/>
    <s v="Valid"/>
    <s v="Valid"/>
    <s v="Valid"/>
    <s v="Complete"/>
    <n v="4842179.1619999995"/>
    <n v="12553041.036323847"/>
    <s v="Normal"/>
    <x v="0"/>
  </r>
  <r>
    <s v="2376-WDR-561-00252"/>
    <s v="WDR"/>
    <x v="8"/>
    <x v="2"/>
    <x v="0"/>
    <n v="2533716"/>
    <n v="9.7000000000000003E-3"/>
    <n v="24577.05"/>
    <s v="6792 Queen St, Unit 5"/>
    <s v="K4C 3H6"/>
    <s v="David Clark"/>
    <n v="3059568"/>
    <d v="2023-01-28T00:00:00"/>
    <s v="Windsor"/>
    <n v="9.7000000000000003E-3"/>
    <n v="1"/>
    <s v="Farms and rural properties"/>
    <s v="Valid"/>
    <s v="Match"/>
    <s v="Valid"/>
    <s v="Unique"/>
    <s v="Valid"/>
    <s v="Valid"/>
    <s v="Valid"/>
    <s v="Complete"/>
    <n v="4842179.1619999995"/>
    <n v="12553041.036323847"/>
    <s v="Normal"/>
    <x v="0"/>
  </r>
  <r>
    <s v="2420-TOR-206-00253"/>
    <s v="TOR"/>
    <x v="1"/>
    <x v="8"/>
    <x v="3"/>
    <n v="788826"/>
    <n v="1.2500000000000001E-2"/>
    <n v="9860.33"/>
    <s v="4310 Cedar Ave, Apt 30"/>
    <s v="R4K 3M7"/>
    <s v="Michael Lee"/>
    <n v="941449"/>
    <d v="2021-02-28T00:00:00"/>
    <s v="Toronto"/>
    <m/>
    <n v="1"/>
    <m/>
    <s v="Valid"/>
    <s v="Match"/>
    <s v="Mismatch"/>
    <s v="Unique"/>
    <s v="Valid"/>
    <s v="Invalid"/>
    <s v="Valid"/>
    <s v="Complete"/>
    <n v="4842179.1619999995"/>
    <n v="12553041.036323847"/>
    <s v="Normal"/>
    <x v="1"/>
  </r>
  <r>
    <s v="2369-TOR-991-00254"/>
    <s v="TOR"/>
    <x v="1"/>
    <x v="1"/>
    <x v="0"/>
    <n v="8309563"/>
    <n v="1.8499999999999999E-2"/>
    <n v="153726.92000000001"/>
    <s v="8866 Church St"/>
    <s v="G8H 9T9"/>
    <s v="Ella Taylor"/>
    <n v="10122071"/>
    <d v="2022-09-13T00:00:00"/>
    <s v="Toronto"/>
    <n v="1.8499999999999999E-2"/>
    <n v="1"/>
    <s v="Manufacturing and warehousing"/>
    <s v="Valid"/>
    <s v="Match"/>
    <s v="Valid"/>
    <s v="Unique"/>
    <s v="Valid"/>
    <s v="Valid"/>
    <s v="Valid"/>
    <s v="Complete"/>
    <n v="4842179.1619999995"/>
    <n v="12553041.036323847"/>
    <s v="Normal"/>
    <x v="0"/>
  </r>
  <r>
    <s v="2156-OSH-522-00255"/>
    <s v="OSH"/>
    <x v="2"/>
    <x v="3"/>
    <x v="2"/>
    <n v="2376818"/>
    <n v="2.0400000000000001E-2"/>
    <n v="48487.09"/>
    <s v="4266 Queen St"/>
    <s v="A8G 5M7"/>
    <s v="Chloe White"/>
    <n v="2536002"/>
    <d v="2019-02-07T00:00:00"/>
    <s v="Oshawa"/>
    <n v="2.0400000000000001E-2"/>
    <n v="1"/>
    <s v="Business properties and retail"/>
    <s v="Valid"/>
    <s v="Match"/>
    <s v="Valid"/>
    <s v="Unique"/>
    <s v="Valid"/>
    <s v="Valid"/>
    <s v="Valid"/>
    <s v="Complete"/>
    <n v="4842179.1619999995"/>
    <n v="12553041.036323847"/>
    <s v="Normal"/>
    <x v="0"/>
  </r>
  <r>
    <s v="2378-GUE-928-00257"/>
    <s v="GUE"/>
    <x v="5"/>
    <x v="1"/>
    <x v="0"/>
    <n v="6061415"/>
    <n v="1.8499999999999999E-2"/>
    <n v="112136.18"/>
    <s v="4414 Wellington St, Unit 6"/>
    <s v="G4E 7T4"/>
    <s v="Chloe Williams"/>
    <n v="6135518"/>
    <d v="2020-11-07T00:00:00"/>
    <s v="Guelph"/>
    <n v="1.8499999999999999E-2"/>
    <n v="1"/>
    <s v="Manufacturing and warehousing"/>
    <s v="Valid"/>
    <s v="Match"/>
    <s v="Valid"/>
    <s v="Unique"/>
    <s v="Valid"/>
    <s v="Valid"/>
    <s v="Valid"/>
    <s v="Complete"/>
    <n v="4842179.1619999995"/>
    <n v="12553041.036323847"/>
    <s v="Normal"/>
    <x v="0"/>
  </r>
  <r>
    <s v="2123-TOR-388-00258"/>
    <s v="TOR"/>
    <x v="1"/>
    <x v="4"/>
    <x v="2"/>
    <n v="4055372"/>
    <n v="1.4800000000000001E-2"/>
    <n v="60019.51"/>
    <s v="4420 Queen St"/>
    <s v="A3C 2A7"/>
    <s v="Liam Taylor"/>
    <n v="4765078"/>
    <d v="2024-08-03T00:00:00"/>
    <s v="Toronto"/>
    <n v="1.4800000000000001E-2"/>
    <n v="1"/>
    <s v="Apartment buildings and multi-tenant residential"/>
    <s v="Valid"/>
    <s v="Match"/>
    <s v="Valid"/>
    <s v="Unique"/>
    <s v="Valid"/>
    <s v="Valid"/>
    <s v="Valid"/>
    <s v="Complete"/>
    <n v="4842179.1619999995"/>
    <n v="12553041.036323847"/>
    <s v="Normal"/>
    <x v="0"/>
  </r>
  <r>
    <s v="2128-KIN-157-00259"/>
    <s v="KIN"/>
    <x v="10"/>
    <x v="2"/>
    <x v="2"/>
    <n v="1295112"/>
    <n v="1.0800000000000001E-2"/>
    <n v="12044.54"/>
    <s v="4376 Wellington St, Suite 6"/>
    <s v="J4R 0E3"/>
    <s v="Emma Williams"/>
    <n v="1499956"/>
    <d v="2019-05-18T00:00:00"/>
    <s v="Kingston"/>
    <n v="9.2999999999999992E-3"/>
    <n v="1"/>
    <s v="Farms and rural properties"/>
    <s v="Valid"/>
    <s v="Match"/>
    <s v="Valid"/>
    <s v="Unique"/>
    <s v="Valid"/>
    <s v="Valid"/>
    <s v="Valid"/>
    <s v="Complete"/>
    <n v="4842179.1619999995"/>
    <n v="12553041.036323847"/>
    <s v="Normal"/>
    <x v="0"/>
  </r>
  <r>
    <s v="2136-LON-584-00260"/>
    <s v="LON"/>
    <x v="4"/>
    <x v="2"/>
    <x v="2"/>
    <n v="1790053"/>
    <n v="9.4000000000000004E-3"/>
    <n v="16826.5"/>
    <s v="6385 Park Ave"/>
    <s v="N2B 8X1"/>
    <s v="Fatima Williams"/>
    <n v="1836862"/>
    <d v="2019-08-02T00:00:00"/>
    <s v="London"/>
    <n v="9.4000000000000004E-3"/>
    <n v="1"/>
    <s v="Farms and rural properties"/>
    <s v="Valid"/>
    <s v="Match"/>
    <s v="Valid"/>
    <s v="Unique"/>
    <s v="Valid"/>
    <s v="Valid"/>
    <s v="Valid"/>
    <s v="Complete"/>
    <n v="4842179.1619999995"/>
    <n v="12553041.036323847"/>
    <s v="Normal"/>
    <x v="0"/>
  </r>
  <r>
    <s v="2251-LON-115-00261"/>
    <s v="LON"/>
    <x v="4"/>
    <x v="0"/>
    <x v="1"/>
    <n v="875473"/>
    <n v="1.24E-2"/>
    <n v="10855.87"/>
    <s v="2752 Church St"/>
    <s v="R3A 0V9"/>
    <s v="David Williams"/>
    <n v="836247"/>
    <d v="2020-01-10T00:00:00"/>
    <s v="London"/>
    <n v="1.24E-2"/>
    <n v="1"/>
    <s v="Single-family and multi-unit homes"/>
    <s v="Valid"/>
    <s v="Match"/>
    <s v="Valid"/>
    <s v="Unique"/>
    <s v="Valid"/>
    <s v="Valid"/>
    <s v="Valid"/>
    <s v="Complete"/>
    <n v="4842179.1619999995"/>
    <n v="12553041.036323847"/>
    <s v="Normal"/>
    <x v="0"/>
  </r>
  <r>
    <s v="2192-GUE-257-00262"/>
    <s v="GUE"/>
    <x v="5"/>
    <x v="1"/>
    <x v="2"/>
    <n v="1931065"/>
    <n v="1.8499999999999999E-2"/>
    <n v="35724.699999999997"/>
    <s v="8797 King St, Unit 11"/>
    <s v="Y5T 3A6"/>
    <s v="Michael Taylor"/>
    <n v="2345340"/>
    <d v="2024-06-10T00:00:00"/>
    <s v="Guelph"/>
    <n v="1.8499999999999999E-2"/>
    <n v="1"/>
    <s v="Manufacturing and warehousing"/>
    <s v="Valid"/>
    <s v="Match"/>
    <s v="Valid"/>
    <s v="Unique"/>
    <s v="Valid"/>
    <s v="Valid"/>
    <s v="Valid"/>
    <s v="Complete"/>
    <n v="4842179.1619999995"/>
    <n v="12553041.036323847"/>
    <s v="Normal"/>
    <x v="0"/>
  </r>
  <r>
    <s v="2372-MSS-294-00263"/>
    <s v="MSS"/>
    <x v="6"/>
    <x v="4"/>
    <x v="0"/>
    <n v="135379068"/>
    <n v="1.52E-2"/>
    <n v="2057761.83"/>
    <s v="9294 Queen St"/>
    <s v="N7L 9Y2"/>
    <s v="Michael Martin"/>
    <n v="7577988"/>
    <d v="2021-06-23T00:00:00"/>
    <s v="Mississauga"/>
    <n v="1.52E-2"/>
    <n v="1"/>
    <s v="Apartment buildings and multi-tenant residential"/>
    <s v="Valid"/>
    <s v="Match"/>
    <s v="Valid"/>
    <s v="Unique"/>
    <s v="Valid"/>
    <s v="Valid"/>
    <s v="Valid"/>
    <s v="Complete"/>
    <n v="4842179.1619999995"/>
    <n v="12553041.036323847"/>
    <s v="Outlier"/>
    <x v="1"/>
  </r>
  <r>
    <s v="2491-OSH-618-00264"/>
    <s v="OSH"/>
    <x v="2"/>
    <x v="1"/>
    <x v="3"/>
    <n v="746068"/>
    <n v="1.84E-2"/>
    <n v="13727.65"/>
    <s v="6220 Queen St"/>
    <s v="P9K 5C8"/>
    <s v="Williams Group Inc."/>
    <n v="849867"/>
    <d v="2024-02-04T00:00:00"/>
    <s v="Oshawa"/>
    <n v="1.84E-2"/>
    <n v="1"/>
    <s v="Manufacturing and warehousing"/>
    <s v="Valid"/>
    <s v="Match"/>
    <s v="Valid"/>
    <s v="Unique"/>
    <s v="Valid"/>
    <s v="Valid"/>
    <s v="Valid"/>
    <s v="Complete"/>
    <n v="4842179.1619999995"/>
    <n v="12553041.036323847"/>
    <s v="Normal"/>
    <x v="0"/>
  </r>
  <r>
    <s v="2392-HAM-429-00265"/>
    <s v="ABC"/>
    <x v="1"/>
    <x v="4"/>
    <x v="0"/>
    <n v="5282985"/>
    <n v="1.5100000000000001E-2"/>
    <n v="79773.070000000007"/>
    <s v="1819 King St"/>
    <s v="C0G 2B3"/>
    <s v="Daniel Brown"/>
    <n v="4813518"/>
    <d v="2023-08-07T00:00:00"/>
    <m/>
    <m/>
    <n v="1"/>
    <s v="Apartment buildings and multi-tenant residential"/>
    <s v="Invalid"/>
    <s v="Mismatch"/>
    <s v="Mismatch"/>
    <s v="Unique"/>
    <s v="Valid"/>
    <s v="Valid"/>
    <s v="Valid"/>
    <s v="Complete"/>
    <n v="4842179.1619999995"/>
    <n v="12553041.036323847"/>
    <s v="Normal"/>
    <x v="1"/>
  </r>
  <r>
    <s v="2338-BRN-720-00266"/>
    <s v="BRN"/>
    <x v="3"/>
    <x v="2"/>
    <x v="0"/>
    <n v="584077"/>
    <n v="9.5999999999999992E-3"/>
    <n v="5607.14"/>
    <s v="1171 Main St"/>
    <s v="J7C 7B5"/>
    <s v="Liam Jackson"/>
    <n v="601117"/>
    <d v="2023-12-21T00:00:00"/>
    <s v="Brampton"/>
    <n v="9.5999999999999992E-3"/>
    <n v="1"/>
    <s v="Farms and rural properties"/>
    <s v="Valid"/>
    <s v="Match"/>
    <s v="Valid"/>
    <s v="Unique"/>
    <s v="Valid"/>
    <s v="Valid"/>
    <s v="Valid"/>
    <s v="Complete"/>
    <n v="4842179.1619999995"/>
    <n v="12553041.036323847"/>
    <s v="Normal"/>
    <x v="0"/>
  </r>
  <r>
    <s v="2491-HAM-690-00268"/>
    <s v="HAM"/>
    <x v="7"/>
    <x v="4"/>
    <x v="3"/>
    <n v="10214495"/>
    <n v="1.3100000000000001E-2"/>
    <n v="154238.87"/>
    <s v="5874 Park Ave"/>
    <s v="S1H 2Y6"/>
    <s v="Aisha Lee"/>
    <n v="12762519"/>
    <d v="2023-06-27T00:00:00"/>
    <s v="Hamilton"/>
    <n v="1.5100000000000001E-2"/>
    <n v="1"/>
    <s v="Apartment buildings and multi-tenant residential"/>
    <s v="Valid"/>
    <s v="Match"/>
    <s v="Valid"/>
    <s v="Unique"/>
    <s v="Valid"/>
    <s v="Valid"/>
    <s v="Valid"/>
    <s v="Complete"/>
    <n v="4842179.1619999995"/>
    <n v="12553041.036323847"/>
    <s v="Normal"/>
    <x v="0"/>
  </r>
  <r>
    <s v="2362-KIN-882-00269"/>
    <s v="KIN"/>
    <x v="10"/>
    <x v="1"/>
    <x v="0"/>
    <n v="8054845"/>
    <n v="1.83E-2"/>
    <n v="147403.66"/>
    <s v="7064 Victoria Rd"/>
    <s v="Y3R 8L5"/>
    <s v="Martin Investments Inc."/>
    <n v="7249912"/>
    <d v="2020-03-11T00:00:00"/>
    <s v="Kingston"/>
    <n v="1.83E-2"/>
    <n v="1"/>
    <s v="Manufacturing and warehousing"/>
    <s v="Valid"/>
    <s v="Match"/>
    <s v="Valid"/>
    <s v="Unique"/>
    <s v="Valid"/>
    <s v="Valid"/>
    <s v="Valid"/>
    <s v="Complete"/>
    <n v="4842179.1619999995"/>
    <n v="12553041.036323847"/>
    <s v="Normal"/>
    <x v="0"/>
  </r>
  <r>
    <s v="2148-WDR-106-00270"/>
    <s v="WDR"/>
    <x v="8"/>
    <x v="4"/>
    <x v="2"/>
    <n v="7268460"/>
    <n v="1.4999999999999999E-2"/>
    <n v="109026.9"/>
    <s v="4930 Maple Ave, Suite 1"/>
    <s v="A1 1A1"/>
    <s v="Noah Johnson"/>
    <n v="6893719"/>
    <d v="2023-02-12T00:00:00"/>
    <s v="Windsor"/>
    <n v="1.4999999999999999E-2"/>
    <n v="1"/>
    <s v="Apartment buildings and multi-tenant residential"/>
    <s v="Valid"/>
    <s v="Match"/>
    <s v="Valid"/>
    <s v="Unique"/>
    <s v="Invalid"/>
    <s v="Valid"/>
    <s v="Valid"/>
    <s v="Complete"/>
    <n v="4842179.1619999995"/>
    <n v="12553041.036323847"/>
    <s v="Normal"/>
    <x v="1"/>
  </r>
  <r>
    <s v="2248-GUE-194-00271"/>
    <s v="GUE"/>
    <x v="5"/>
    <x v="3"/>
    <x v="1"/>
    <n v="1817519"/>
    <n v="2.0500000000000001E-2"/>
    <n v="37259.14"/>
    <s v="9356 Wellington St"/>
    <s v="J1N 7H7"/>
    <s v="Wilson Group Inc."/>
    <n v="2157087"/>
    <d v="2020-01-26T00:00:00"/>
    <s v="Guelph"/>
    <n v="2.0500000000000001E-2"/>
    <n v="1"/>
    <s v="Business properties and retail"/>
    <s v="Valid"/>
    <s v="Match"/>
    <s v="Valid"/>
    <s v="Unique"/>
    <s v="Valid"/>
    <s v="Valid"/>
    <s v="Valid"/>
    <s v="Complete"/>
    <n v="4842179.1619999995"/>
    <n v="12553041.036323847"/>
    <s v="Normal"/>
    <x v="0"/>
  </r>
  <r>
    <s v="2183-GUE-490-00272"/>
    <s v="GUE"/>
    <x v="5"/>
    <x v="1"/>
    <x v="2"/>
    <n v="6803154"/>
    <n v="1.8499999999999999E-2"/>
    <n v="125858.35"/>
    <s v="1295 Main St"/>
    <s v="N5S 6E3"/>
    <s v="John Nguyen"/>
    <n v="7973953"/>
    <d v="2023-04-16T00:00:00"/>
    <s v="Guelph"/>
    <n v="1.8499999999999999E-2"/>
    <n v="1"/>
    <s v="Manufacturing and warehousing"/>
    <s v="Valid"/>
    <s v="Match"/>
    <s v="Valid"/>
    <s v="Unique"/>
    <s v="Valid"/>
    <s v="Valid"/>
    <s v="Valid"/>
    <s v="Complete"/>
    <n v="4842179.1619999995"/>
    <n v="12553041.036323847"/>
    <s v="Normal"/>
    <x v="0"/>
  </r>
  <r>
    <s v="2182-TOR-253-00273"/>
    <s v="TOR"/>
    <x v="1"/>
    <x v="1"/>
    <x v="2"/>
    <n v="3736456"/>
    <n v="1.8499999999999999E-2"/>
    <n v="69124.44"/>
    <s v="5364 Elm St"/>
    <s v="G0R 7X1"/>
    <s v="Fatima White"/>
    <n v="3878489"/>
    <d v="2020-06-25T00:00:00"/>
    <s v="Toronto"/>
    <n v="1.8499999999999999E-2"/>
    <n v="1"/>
    <s v="Manufacturing and warehousing"/>
    <s v="Valid"/>
    <s v="Match"/>
    <s v="Valid"/>
    <s v="Unique"/>
    <s v="Valid"/>
    <s v="Valid"/>
    <s v="Valid"/>
    <s v="Complete"/>
    <n v="4842179.1619999995"/>
    <n v="12553041.036323847"/>
    <s v="Normal"/>
    <x v="0"/>
  </r>
  <r>
    <s v="2416-KIN-661-00274"/>
    <s v="KIN"/>
    <x v="10"/>
    <x v="0"/>
    <x v="3"/>
    <n v="825208"/>
    <n v="1.23E-2"/>
    <n v="10150.06"/>
    <s v="6550 Church St, Apt 14"/>
    <s v="G2V 8J7"/>
    <s v="Daniel Lee"/>
    <n v="920601"/>
    <d v="2025-02-15T00:00:00"/>
    <s v="Kingston"/>
    <n v="1.23E-2"/>
    <n v="1"/>
    <s v="Single-family and multi-unit homes"/>
    <s v="Valid"/>
    <s v="Match"/>
    <s v="Valid"/>
    <s v="Unique"/>
    <s v="Valid"/>
    <s v="Valid"/>
    <s v="Valid"/>
    <s v="Complete"/>
    <n v="4842179.1619999995"/>
    <n v="12553041.036323847"/>
    <s v="Normal"/>
    <x v="0"/>
  </r>
  <r>
    <s v="2265-OSH-431-00275"/>
    <s v="OSH"/>
    <x v="2"/>
    <x v="3"/>
    <x v="1"/>
    <n v="1149459"/>
    <n v="2.0400000000000001E-2"/>
    <n v="23448.959999999999"/>
    <s v="9447 King St, Suite 14"/>
    <s v="P5J 5P9"/>
    <s v="Fatima Johnson"/>
    <n v="1431856"/>
    <d v="2023-12-17T00:00:00"/>
    <s v="Oshawa"/>
    <n v="2.0400000000000001E-2"/>
    <n v="1"/>
    <s v="Business properties and retail"/>
    <s v="Valid"/>
    <s v="Match"/>
    <s v="Valid"/>
    <s v="Unique"/>
    <s v="Valid"/>
    <s v="Valid"/>
    <s v="Valid"/>
    <s v="Complete"/>
    <n v="4842179.1619999995"/>
    <n v="12553041.036323847"/>
    <s v="Normal"/>
    <x v="0"/>
  </r>
  <r>
    <s v="2439-GUE-304-00276"/>
    <s v="GUE"/>
    <x v="9"/>
    <x v="3"/>
    <x v="3"/>
    <n v="993161"/>
    <n v="2.0500000000000001E-2"/>
    <n v="20359.8"/>
    <s v="6134 Queen St"/>
    <s v="C1B 3G4"/>
    <s v="Sarah Taylor"/>
    <n v="1050289"/>
    <d v="2021-02-16T00:00:00"/>
    <s v="Guelph"/>
    <n v="2.0500000000000001E-2"/>
    <n v="1"/>
    <s v="Business properties and retail"/>
    <s v="Valid"/>
    <s v="Mismatch"/>
    <s v="Valid"/>
    <s v="Unique"/>
    <s v="Valid"/>
    <s v="Valid"/>
    <s v="Valid"/>
    <s v="Complete"/>
    <n v="4842179.1619999995"/>
    <n v="12553041.036323847"/>
    <s v="Normal"/>
    <x v="1"/>
  </r>
  <r>
    <s v="2276-KIN-868-00277"/>
    <s v="KIN"/>
    <x v="10"/>
    <x v="3"/>
    <x v="1"/>
    <n v="1664042"/>
    <n v="2.0299999999999999E-2"/>
    <n v="33780.050000000003"/>
    <s v="4247 Elm St"/>
    <s v="123 456"/>
    <s v="Mary Taylor"/>
    <n v="1614526"/>
    <d v="2022-01-16T00:00:00"/>
    <s v="Kingston"/>
    <n v="2.0299999999999999E-2"/>
    <n v="1"/>
    <s v="Business properties and retail"/>
    <s v="Valid"/>
    <s v="Match"/>
    <s v="Valid"/>
    <s v="Unique"/>
    <s v="Valid"/>
    <s v="Valid"/>
    <s v="Valid"/>
    <s v="Complete"/>
    <n v="4842179.1619999995"/>
    <n v="12553041.036323847"/>
    <s v="Normal"/>
    <x v="0"/>
  </r>
  <r>
    <s v="2194-TOR-377-00278"/>
    <s v="TOR"/>
    <x v="1"/>
    <x v="2"/>
    <x v="2"/>
    <n v="650671"/>
    <n v="9.4999999999999998E-3"/>
    <n v="6181.37"/>
    <s v="5911 King St, Apt 13"/>
    <s v="K6X 1N7"/>
    <s v="Lee Holdings Inc."/>
    <n v="628058"/>
    <d v="2027-09-10T00:00:00"/>
    <s v="Toronto"/>
    <n v="9.4999999999999998E-3"/>
    <n v="1"/>
    <s v="Farms and rural properties"/>
    <s v="Valid"/>
    <s v="Match"/>
    <s v="Valid"/>
    <s v="Unique"/>
    <s v="Valid"/>
    <s v="Valid"/>
    <s v="Invalid"/>
    <s v="Complete"/>
    <n v="4842179.1619999995"/>
    <n v="12553041.036323847"/>
    <s v="Normal"/>
    <x v="1"/>
  </r>
  <r>
    <s v="2177-MSS-412-00279"/>
    <s v="MSS"/>
    <x v="6"/>
    <x v="4"/>
    <x v="2"/>
    <n v="2251454"/>
    <n v="1.52E-2"/>
    <n v="34222.1"/>
    <s v="5475 Lakeshore Rd"/>
    <s v="H0P 5P4"/>
    <s v="Ethan Taylor"/>
    <n v="2666087"/>
    <d v="2021-11-21T00:00:00"/>
    <s v="Mississauga"/>
    <n v="1.52E-2"/>
    <n v="1"/>
    <s v="Apartment buildings and multi-tenant residential"/>
    <s v="Valid"/>
    <s v="Match"/>
    <s v="Valid"/>
    <s v="Unique"/>
    <s v="Valid"/>
    <s v="Valid"/>
    <s v="Valid"/>
    <s v="Complete"/>
    <n v="4842179.1619999995"/>
    <n v="12553041.036323847"/>
    <s v="Normal"/>
    <x v="0"/>
  </r>
  <r>
    <s v="2353-BRN-502-00280"/>
    <s v="BRN"/>
    <x v="3"/>
    <x v="0"/>
    <x v="0"/>
    <n v="585844"/>
    <n v="1.26E-2"/>
    <n v="7381.63"/>
    <s v="2258 King St"/>
    <s v="X9K 6K9"/>
    <s v="Fatima Clark"/>
    <n v="651388"/>
    <d v="2022-07-08T00:00:00"/>
    <s v="Brampton"/>
    <n v="1.26E-2"/>
    <n v="1"/>
    <s v="Single-family and multi-unit homes"/>
    <s v="Valid"/>
    <s v="Match"/>
    <s v="Valid"/>
    <s v="Unique"/>
    <s v="Valid"/>
    <s v="Valid"/>
    <s v="Valid"/>
    <s v="Complete"/>
    <n v="4842179.1619999995"/>
    <n v="12553041.036323847"/>
    <s v="Normal"/>
    <x v="0"/>
  </r>
  <r>
    <s v="2284-OSH-654-00281"/>
    <s v="OSH"/>
    <x v="2"/>
    <x v="3"/>
    <x v="1"/>
    <n v="3141007"/>
    <n v="2.0400000000000001E-2"/>
    <n v="64076.54"/>
    <s v="3324 Queen St"/>
    <s v="X2S 2H5"/>
    <s v="Ella Wilson"/>
    <n v="2957056"/>
    <d v="2022-07-24T00:00:00"/>
    <s v="Oshawa"/>
    <n v="2.0400000000000001E-2"/>
    <n v="1"/>
    <s v="Business properties and retail"/>
    <s v="Valid"/>
    <s v="Match"/>
    <s v="Valid"/>
    <s v="Unique"/>
    <s v="Valid"/>
    <s v="Valid"/>
    <s v="Valid"/>
    <s v="Complete"/>
    <n v="4842179.1619999995"/>
    <n v="12553041.036323847"/>
    <s v="Normal"/>
    <x v="0"/>
  </r>
  <r>
    <s v="2362-HAM-521-00282"/>
    <s v="HAM"/>
    <x v="7"/>
    <x v="0"/>
    <x v="0"/>
    <n v="1143125"/>
    <n v="1.2800000000000001E-2"/>
    <n v="14632"/>
    <s v="4980 Lakeshore Rd"/>
    <s v="L2J 1G2"/>
    <s v="James Patel"/>
    <n v="1255683"/>
    <d v="2021-04-17T00:00:00"/>
    <s v="Hamilton"/>
    <n v="1.2800000000000001E-2"/>
    <n v="1"/>
    <s v="Single-family and multi-unit homes"/>
    <s v="Valid"/>
    <s v="Match"/>
    <s v="Valid"/>
    <s v="Unique"/>
    <s v="Valid"/>
    <s v="Valid"/>
    <s v="Valid"/>
    <s v="Complete"/>
    <n v="4842179.1619999995"/>
    <n v="12553041.036323847"/>
    <s v="Normal"/>
    <x v="0"/>
  </r>
  <r>
    <s v="2255-GUE-181-00283"/>
    <s v="GUE"/>
    <x v="5"/>
    <x v="3"/>
    <x v="1"/>
    <n v="3288382"/>
    <n v="2.0500000000000001E-2"/>
    <n v="67411.83"/>
    <s v="7818 Queen St"/>
    <s v="V5H 6V7"/>
    <s v="Daniel Williams"/>
    <n v="2996638"/>
    <d v="2019-03-03T00:00:00"/>
    <s v="Guelph"/>
    <n v="2.0500000000000001E-2"/>
    <n v="1"/>
    <s v="Business properties and retail"/>
    <s v="Valid"/>
    <s v="Match"/>
    <s v="Valid"/>
    <s v="Unique"/>
    <s v="Valid"/>
    <s v="Valid"/>
    <s v="Valid"/>
    <s v="Complete"/>
    <n v="4842179.1619999995"/>
    <n v="12553041.036323847"/>
    <s v="Normal"/>
    <x v="0"/>
  </r>
  <r>
    <s v="2235-WDR-875-00284"/>
    <s v="WDR"/>
    <x v="8"/>
    <x v="2"/>
    <x v="1"/>
    <n v="2512271"/>
    <n v="1.2200000000000001E-2"/>
    <n v="24369.03"/>
    <s v="3361 King St, Suite 28"/>
    <s v="V5T 3S6"/>
    <s v="Sophia Wilson"/>
    <n v="2536173"/>
    <d v="2025-01-05T00:00:00"/>
    <s v="Windsor"/>
    <n v="9.7000000000000003E-3"/>
    <n v="1"/>
    <s v="Farms and rural properties"/>
    <s v="Valid"/>
    <s v="Match"/>
    <s v="Valid"/>
    <s v="Unique"/>
    <s v="Valid"/>
    <s v="Valid"/>
    <s v="Valid"/>
    <s v="Complete"/>
    <n v="4842179.1619999995"/>
    <n v="12553041.036323847"/>
    <s v="Normal"/>
    <x v="0"/>
  </r>
  <r>
    <s v="2115-OSH-998-00285"/>
    <s v="OSH"/>
    <x v="2"/>
    <x v="0"/>
    <x v="2"/>
    <n v="736675"/>
    <n v="1.24E-2"/>
    <n v="9134.77"/>
    <s v="4035 Elm St"/>
    <s v="B8R 8B3"/>
    <s v="Sophia Clark"/>
    <n v="741533"/>
    <d v="2022-03-17T00:00:00"/>
    <s v="Oshawa"/>
    <n v="1.24E-2"/>
    <n v="1"/>
    <s v="Single-family and multi-unit homes"/>
    <s v="Valid"/>
    <s v="Match"/>
    <s v="Valid"/>
    <s v="Unique"/>
    <s v="Valid"/>
    <s v="Valid"/>
    <s v="Valid"/>
    <s v="Complete"/>
    <n v="4842179.1619999995"/>
    <n v="12553041.036323847"/>
    <s v="Normal"/>
    <x v="0"/>
  </r>
  <r>
    <s v="2416-MSS-806-00286"/>
    <s v="MSS"/>
    <x v="6"/>
    <x v="3"/>
    <x v="3"/>
    <n v="1926273"/>
    <n v="2.0899999999999998E-2"/>
    <n v="40259.11"/>
    <s v="8480 Queen St"/>
    <s v="T1X 1H9"/>
    <s v="Wilson Group Inc."/>
    <n v="1824869"/>
    <d v="2023-04-27T00:00:00"/>
    <s v="Mississauga"/>
    <n v="2.0899999999999998E-2"/>
    <n v="1"/>
    <s v="Business properties and retail"/>
    <s v="Valid"/>
    <s v="Match"/>
    <s v="Valid"/>
    <s v="Unique"/>
    <s v="Valid"/>
    <s v="Valid"/>
    <s v="Valid"/>
    <s v="Complete"/>
    <n v="4842179.1619999995"/>
    <n v="12553041.036323847"/>
    <s v="Normal"/>
    <x v="0"/>
  </r>
  <r>
    <s v="2185-KIN-829-00287"/>
    <s v="KIN"/>
    <x v="10"/>
    <x v="2"/>
    <x v="2"/>
    <n v="951378"/>
    <n v="9.2999999999999992E-3"/>
    <n v="8847.82"/>
    <s v="3318 Lakeshore Rd, Suite 23"/>
    <s v="H1C 1T5"/>
    <s v="Sophia Wilson"/>
    <n v="1119651"/>
    <d v="2024-09-26T00:00:00"/>
    <s v="Kingston"/>
    <n v="9.2999999999999992E-3"/>
    <n v="1"/>
    <s v="Farms and rural properties"/>
    <s v="Valid"/>
    <s v="Match"/>
    <s v="Valid"/>
    <s v="Unique"/>
    <s v="Valid"/>
    <s v="Valid"/>
    <s v="Valid"/>
    <s v="Complete"/>
    <n v="4842179.1619999995"/>
    <n v="12553041.036323847"/>
    <s v="Normal"/>
    <x v="0"/>
  </r>
  <r>
    <s v="2415-GUE-886-00288"/>
    <s v="GUE"/>
    <x v="5"/>
    <x v="3"/>
    <x v="3"/>
    <n v="2747945"/>
    <n v="2.0500000000000001E-2"/>
    <n v="56482.87"/>
    <s v="2809 Victoria Rd"/>
    <s v="G2G 2B6"/>
    <s v="Emma Taylor"/>
    <n v="3075661"/>
    <d v="2021-08-29T00:00:00"/>
    <s v="Guelph"/>
    <n v="2.0500000000000001E-2"/>
    <n v="1"/>
    <s v="Business properties and retail"/>
    <s v="Valid"/>
    <s v="Match"/>
    <s v="Mismatch"/>
    <s v="Unique"/>
    <s v="Valid"/>
    <s v="Valid"/>
    <s v="Valid"/>
    <s v="Complete"/>
    <n v="4842179.1619999995"/>
    <n v="12553041.036323847"/>
    <s v="Normal"/>
    <x v="1"/>
  </r>
  <r>
    <s v="2142-HAM-112-00289"/>
    <s v="HAM"/>
    <x v="7"/>
    <x v="3"/>
    <x v="2"/>
    <n v="3020507"/>
    <n v="2.0799999999999999E-2"/>
    <n v="62826.55"/>
    <s v="7524 Lakeshore Rd"/>
    <s v="Y0V 3J9"/>
    <s v="Emma Thomas"/>
    <n v="3185597"/>
    <d v="2019-01-27T00:00:00"/>
    <s v="Hamilton"/>
    <n v="2.0799999999999999E-2"/>
    <n v="1"/>
    <s v="Business properties and retail"/>
    <s v="Valid"/>
    <s v="Match"/>
    <s v="Valid"/>
    <s v="Unique"/>
    <s v="Valid"/>
    <s v="Valid"/>
    <s v="Valid"/>
    <s v="Complete"/>
    <n v="4842179.1619999995"/>
    <n v="12553041.036323847"/>
    <s v="Normal"/>
    <x v="0"/>
  </r>
  <r>
    <s v="2381-LON-939-00290"/>
    <s v="LON"/>
    <x v="4"/>
    <x v="4"/>
    <x v="0"/>
    <n v="8472301"/>
    <n v="1.47E-2"/>
    <n v="124542.82"/>
    <s v="3411 Main St, Unit 21"/>
    <s v="P0G 0M5"/>
    <s v=""/>
    <n v="8861475"/>
    <d v="2020-12-31T00:00:00"/>
    <s v="London"/>
    <n v="1.47E-2"/>
    <n v="1"/>
    <s v="Apartment buildings and multi-tenant residential"/>
    <s v="Valid"/>
    <s v="Match"/>
    <s v="Valid"/>
    <s v="Unique"/>
    <s v="Valid"/>
    <s v="Valid"/>
    <s v="Valid"/>
    <s v="Complete"/>
    <n v="4842179.1619999995"/>
    <n v="12553041.036323847"/>
    <s v="Normal"/>
    <x v="0"/>
  </r>
  <r>
    <s v="2216-OTT-941-00432"/>
    <s v="HAM"/>
    <x v="7"/>
    <x v="1"/>
    <x v="1"/>
    <n v="10161125"/>
    <n v="1.8800000000000001E-2"/>
    <n v="191029.15"/>
    <s v="597 King St"/>
    <s v="N5R 1S8"/>
    <s v="Chloe Johnson"/>
    <n v="9578975"/>
    <d v="2022-01-29T00:00:00"/>
    <s v="Hamilton"/>
    <n v="1.8800000000000001E-2"/>
    <n v="2"/>
    <s v="Manufacturing and warehousing"/>
    <s v="Valid"/>
    <s v="Match"/>
    <s v="Valid"/>
    <s v="Duplicate"/>
    <s v="Valid"/>
    <s v="Valid"/>
    <s v="Valid"/>
    <s v="Complete"/>
    <n v="4842179.1619999995"/>
    <n v="12553041.036323847"/>
    <s v="Normal"/>
    <x v="1"/>
  </r>
  <r>
    <s v="2216-OTT-941-00432"/>
    <s v="OTT"/>
    <x v="0"/>
    <x v="2"/>
    <x v="1"/>
    <n v="3705140"/>
    <n v="9.1000000000000004E-3"/>
    <n v="33716.769999999997"/>
    <s v="5475 Elm St"/>
    <s v="C9T 1T9"/>
    <s v="Mary Clark"/>
    <n v="3377866"/>
    <d v="2022-07-07T00:00:00"/>
    <s v="Ottawa"/>
    <n v="9.1000000000000004E-3"/>
    <n v="2"/>
    <s v="Farms and rural properties"/>
    <s v="Valid"/>
    <s v="Match"/>
    <s v="Valid"/>
    <s v="Duplicate"/>
    <s v="Valid"/>
    <s v="Valid"/>
    <s v="Valid"/>
    <s v="Complete"/>
    <n v="4842179.1619999995"/>
    <n v="12553041.036323847"/>
    <s v="Normal"/>
    <x v="1"/>
  </r>
  <r>
    <s v="2499-KIN-314-00292"/>
    <s v="KIN"/>
    <x v="10"/>
    <x v="4"/>
    <x v="3"/>
    <n v="7347021"/>
    <n v="1.46E-2"/>
    <n v="107266.51"/>
    <s v="963 King St"/>
    <s v="123456"/>
    <s v="Olivia Taylor"/>
    <n v="7963340"/>
    <d v="2024-06-30T00:00:00"/>
    <s v="Kingston"/>
    <n v="1.46E-2"/>
    <n v="1"/>
    <s v="Apartment buildings and multi-tenant residential"/>
    <s v="Valid"/>
    <s v="Match"/>
    <s v="Valid"/>
    <s v="Unique"/>
    <s v="Invalid"/>
    <s v="Valid"/>
    <s v="Valid"/>
    <s v="Complete"/>
    <n v="4842179.1619999995"/>
    <n v="12553041.036323847"/>
    <s v="Normal"/>
    <x v="1"/>
  </r>
  <r>
    <s v="2490-KIN-609-00293"/>
    <s v="KIN"/>
    <x v="10"/>
    <x v="3"/>
    <x v="3"/>
    <n v="2638970"/>
    <n v="1.9300000000000001E-2"/>
    <n v="53571.09"/>
    <s v="8079 Queen St"/>
    <s v="K4J 0E0"/>
    <s v="Sarah Wilson"/>
    <n v="3158384"/>
    <d v="2024-06-14T00:00:00"/>
    <s v="Kingston"/>
    <n v="2.0299999999999999E-2"/>
    <n v="1"/>
    <s v="Business properties and retail"/>
    <s v="Valid"/>
    <s v="Match"/>
    <s v="Valid"/>
    <s v="Unique"/>
    <s v="Valid"/>
    <s v="Valid"/>
    <s v="Valid"/>
    <s v="Complete"/>
    <n v="4842179.1619999995"/>
    <n v="12553041.036323847"/>
    <s v="Normal"/>
    <x v="0"/>
  </r>
  <r>
    <s v="2181-BRN-925-00294"/>
    <s v="BRN"/>
    <x v="3"/>
    <x v="2"/>
    <x v="2"/>
    <n v="1303602"/>
    <n v="9.5999999999999992E-3"/>
    <n v="12514.58"/>
    <s v="3488 Main St"/>
    <s v="M4C 4M8"/>
    <s v="John Brown"/>
    <n v="1486162"/>
    <d v="2022-10-30T00:00:00"/>
    <s v="Brampton"/>
    <n v="9.5999999999999992E-3"/>
    <n v="1"/>
    <s v="Farms and rural properties"/>
    <s v="Valid"/>
    <s v="Match"/>
    <s v="Valid"/>
    <s v="Unique"/>
    <s v="Valid"/>
    <s v="Valid"/>
    <s v="Valid"/>
    <s v="Complete"/>
    <n v="4842179.1619999995"/>
    <n v="12553041.036323847"/>
    <s v="Normal"/>
    <x v="0"/>
  </r>
  <r>
    <s v="2134-BRN-438-00295"/>
    <s v="BRN"/>
    <x v="3"/>
    <x v="4"/>
    <x v="2"/>
    <n v="11667693"/>
    <n v="1.49E-2"/>
    <n v="173848.63"/>
    <s v="5546 Park Ave"/>
    <s v="123 456"/>
    <s v="Lee Developments Inc."/>
    <n v="12389509"/>
    <d v="2023-08-23T00:00:00"/>
    <s v="Brampton"/>
    <n v="1.49E-2"/>
    <n v="1"/>
    <s v="Apartment buildings and multi-tenant residential"/>
    <s v="Valid"/>
    <s v="Match"/>
    <s v="Valid"/>
    <s v="Unique"/>
    <s v="Valid"/>
    <s v="Valid"/>
    <s v="Valid"/>
    <s v="Complete"/>
    <n v="4842179.1619999995"/>
    <n v="12553041.036323847"/>
    <s v="Normal"/>
    <x v="0"/>
  </r>
  <r>
    <s v="2396-TOR-423-00296"/>
    <s v="TOR"/>
    <x v="1"/>
    <x v="4"/>
    <x v="0"/>
    <n v="7808553"/>
    <n v="1.4800000000000001E-2"/>
    <n v="115646.58"/>
    <s v="9106 Elm St, Apt 22"/>
    <s v="N5C 2L0"/>
    <s v="Sophia Nguyen"/>
    <n v="8487863"/>
    <d v="2020-12-05T00:00:00"/>
    <s v="Toronto"/>
    <n v="1.4800000000000001E-2"/>
    <n v="1"/>
    <s v="Apartment buildings and multi-tenant residential"/>
    <s v="Valid"/>
    <s v="Match"/>
    <s v="Mismatch"/>
    <s v="Unique"/>
    <s v="Valid"/>
    <s v="Valid"/>
    <s v="Valid"/>
    <s v="Complete"/>
    <n v="4842179.1619999995"/>
    <n v="12553041.036323847"/>
    <s v="Normal"/>
    <x v="1"/>
  </r>
  <r>
    <s v="2424-GUE-985-00297"/>
    <s v="GUE"/>
    <x v="5"/>
    <x v="4"/>
    <x v="3"/>
    <n v="4068352"/>
    <n v="1.4800000000000001E-2"/>
    <n v="60211.61"/>
    <s v="5060 Victoria Rd"/>
    <s v="L6C 7K5"/>
    <s v="Fatima Williams"/>
    <n v="4409219"/>
    <d v="2021-12-25T00:00:00"/>
    <s v="Guelph"/>
    <n v="1.4800000000000001E-2"/>
    <n v="1"/>
    <s v="Apartment buildings and multi-tenant residential"/>
    <s v="Valid"/>
    <s v="Match"/>
    <s v="Valid"/>
    <s v="Unique"/>
    <s v="Valid"/>
    <s v="Valid"/>
    <s v="Valid"/>
    <s v="Complete"/>
    <n v="4842179.1619999995"/>
    <n v="12553041.036323847"/>
    <s v="Normal"/>
    <x v="0"/>
  </r>
  <r>
    <s v="2121-OTT-554-00298"/>
    <s v="X99"/>
    <x v="0"/>
    <x v="1"/>
    <x v="2"/>
    <n v="7278552"/>
    <n v="1.8100000000000002E-2"/>
    <n v="131741.79"/>
    <s v="8300 Main St"/>
    <s v="X2J 5V8"/>
    <s v="Olivia Johnson"/>
    <n v="8510945"/>
    <d v="2020-02-07T00:00:00"/>
    <m/>
    <m/>
    <n v="1"/>
    <s v="Manufacturing and warehousing"/>
    <s v="Invalid"/>
    <s v="Mismatch"/>
    <s v="Mismatch"/>
    <s v="Unique"/>
    <s v="Valid"/>
    <s v="Valid"/>
    <s v="Valid"/>
    <s v="Complete"/>
    <n v="4842179.1619999995"/>
    <n v="12553041.036323847"/>
    <s v="Normal"/>
    <x v="1"/>
  </r>
  <r>
    <s v="2268-OSH-496-00299"/>
    <s v="OSH"/>
    <x v="2"/>
    <x v="3"/>
    <x v="1"/>
    <n v="3454789"/>
    <n v="2.0400000000000001E-2"/>
    <n v="70477.7"/>
    <s v="8568 King St, Unit 22"/>
    <s v="C5T 0E8"/>
    <s v="Fatima Smith"/>
    <n v="3807682"/>
    <d v="2022-07-02T00:00:00"/>
    <s v="Oshawa"/>
    <n v="2.0400000000000001E-2"/>
    <n v="1"/>
    <s v="Business properties and retail"/>
    <s v="Valid"/>
    <s v="Match"/>
    <s v="Valid"/>
    <s v="Unique"/>
    <s v="Valid"/>
    <s v="Valid"/>
    <s v="Valid"/>
    <s v="Complete"/>
    <n v="4842179.1619999995"/>
    <n v="12553041.036323847"/>
    <s v="Normal"/>
    <x v="0"/>
  </r>
  <r>
    <s v="2245-LON-645-00300"/>
    <s v="LON"/>
    <x v="4"/>
    <x v="1"/>
    <x v="1"/>
    <n v="2988944"/>
    <n v="1.84E-2"/>
    <n v="54996.57"/>
    <s v="5238 Lakeshore Rd"/>
    <s v="M5V2T6"/>
    <s v="Lee Group Inc."/>
    <n v="2797148"/>
    <d v="2025-01-31T00:00:00"/>
    <s v="London"/>
    <n v="1.84E-2"/>
    <n v="1"/>
    <s v="Manufacturing and warehousing"/>
    <s v="Valid"/>
    <s v="Match"/>
    <s v="Valid"/>
    <s v="Unique"/>
    <s v="Invalid"/>
    <s v="Valid"/>
    <s v="Valid"/>
    <s v="Complete"/>
    <n v="4842179.1619999995"/>
    <n v="12553041.036323847"/>
    <s v="Normal"/>
    <x v="1"/>
  </r>
  <r>
    <s v="2346-KIN-687-00301"/>
    <s v="KIN"/>
    <x v="10"/>
    <x v="4"/>
    <x v="0"/>
    <n v="4807994"/>
    <n v="1.46E-2"/>
    <n v="70196.710000000006"/>
    <s v="4021 Queen St, Apt 29"/>
    <s v="N8T 0G0"/>
    <s v="Mary Brown"/>
    <n v="4972715"/>
    <d v="2020-06-25T00:00:00"/>
    <s v="Kingston"/>
    <n v="1.46E-2"/>
    <n v="1"/>
    <s v="Apartment buildings and multi-tenant residential"/>
    <s v="Valid"/>
    <s v="Match"/>
    <s v="Valid"/>
    <s v="Unique"/>
    <s v="Valid"/>
    <s v="Valid"/>
    <s v="Valid"/>
    <s v="Complete"/>
    <n v="4842179.1619999995"/>
    <n v="12553041.036323847"/>
    <s v="Normal"/>
    <x v="0"/>
  </r>
  <r>
    <s v="2285-BRN-744-00302"/>
    <s v="BRN"/>
    <x v="3"/>
    <x v="2"/>
    <x v="1"/>
    <n v="2371840"/>
    <n v="9.5999999999999992E-3"/>
    <n v="22769.66"/>
    <s v="7314 Cedar Ave"/>
    <s v="N3Y 1T9"/>
    <s v="Emma Brown"/>
    <m/>
    <d v="2024-03-21T00:00:00"/>
    <s v="Brampton"/>
    <n v="9.5999999999999992E-3"/>
    <n v="1"/>
    <s v="Farms and rural properties"/>
    <s v="Valid"/>
    <s v="Match"/>
    <s v="Valid"/>
    <s v="Unique"/>
    <s v="Valid"/>
    <s v="Valid"/>
    <s v="Valid"/>
    <s v="Complete"/>
    <n v="4842179.1619999995"/>
    <n v="12553041.036323847"/>
    <s v="Normal"/>
    <x v="0"/>
  </r>
  <r>
    <s v="2288-MSS-364-00303"/>
    <s v="MSS"/>
    <x v="6"/>
    <x v="3"/>
    <x v="1"/>
    <n v="1461498"/>
    <n v="2.0899999999999998E-2"/>
    <n v="30545.31"/>
    <s v="5964 Wellington St, Apt 11"/>
    <s v="N7V 0C7"/>
    <s v="Chloe Martin"/>
    <n v="1747978"/>
    <d v="2022-03-02T00:00:00"/>
    <s v="Mississauga"/>
    <n v="2.0899999999999998E-2"/>
    <n v="1"/>
    <s v="Business properties and retail"/>
    <s v="Valid"/>
    <s v="Match"/>
    <s v="Valid"/>
    <s v="Unique"/>
    <s v="Valid"/>
    <s v="Valid"/>
    <s v="Valid"/>
    <s v="Complete"/>
    <n v="4842179.1619999995"/>
    <n v="12553041.036323847"/>
    <s v="Normal"/>
    <x v="0"/>
  </r>
  <r>
    <s v="2261-KIN-937-00304"/>
    <s v="KIN"/>
    <x v="10"/>
    <x v="4"/>
    <x v="1"/>
    <n v="7161545"/>
    <n v="1.46E-2"/>
    <n v="104558.56"/>
    <s v="1762 Victoria Rd"/>
    <s v="M5V2T6"/>
    <s v="Grace Lee"/>
    <n v="6843981"/>
    <d v="2024-05-29T00:00:00"/>
    <s v="Kingston"/>
    <n v="1.46E-2"/>
    <n v="1"/>
    <s v="Apartment buildings and multi-tenant residential"/>
    <s v="Valid"/>
    <s v="Match"/>
    <s v="Valid"/>
    <s v="Unique"/>
    <s v="Invalid"/>
    <s v="Valid"/>
    <s v="Valid"/>
    <s v="Complete"/>
    <n v="4842179.1619999995"/>
    <n v="12553041.036323847"/>
    <s v="Normal"/>
    <x v="1"/>
  </r>
  <r>
    <s v="2398-BRN-705-00305"/>
    <s v="BRN"/>
    <x v="3"/>
    <x v="0"/>
    <x v="0"/>
    <n v="572675"/>
    <n v="1.26E-2"/>
    <n v="7215.7"/>
    <s v="7073 Wellington St"/>
    <s v="N8K 2C9"/>
    <s v="Brown Group Inc."/>
    <n v="634883"/>
    <d v="2021-10-28T00:00:00"/>
    <s v="Brampton"/>
    <n v="1.26E-2"/>
    <n v="1"/>
    <s v="Single-family and multi-unit homes"/>
    <s v="Valid"/>
    <s v="Match"/>
    <s v="Valid"/>
    <s v="Unique"/>
    <s v="Valid"/>
    <s v="Valid"/>
    <s v="Valid"/>
    <s v="Complete"/>
    <n v="4842179.1619999995"/>
    <n v="12553041.036323847"/>
    <s v="Normal"/>
    <x v="0"/>
  </r>
  <r>
    <s v="2461-OSH-171-00306"/>
    <s v="OSH"/>
    <x v="2"/>
    <x v="0"/>
    <x v="3"/>
    <n v="546795"/>
    <n v="1.24E-2"/>
    <n v="6780.26"/>
    <s v="9811 King St"/>
    <s v="R5V 0C3"/>
    <s v="Clark Group Inc."/>
    <n v="664979"/>
    <d v="2024-07-26T00:00:00"/>
    <s v="Oshawa"/>
    <n v="1.24E-2"/>
    <n v="1"/>
    <s v="Single-family and multi-unit homes"/>
    <s v="Valid"/>
    <s v="Match"/>
    <s v="Valid"/>
    <s v="Unique"/>
    <s v="Valid"/>
    <s v="Valid"/>
    <s v="Valid"/>
    <s v="Complete"/>
    <n v="4842179.1619999995"/>
    <n v="12553041.036323847"/>
    <s v="Normal"/>
    <x v="0"/>
  </r>
  <r>
    <s v="2247-TOR-499-00307"/>
    <s v="TOR"/>
    <x v="6"/>
    <x v="3"/>
    <x v="1"/>
    <n v="2413074"/>
    <n v="2.0500000000000001E-2"/>
    <n v="49468.02"/>
    <s v="9478 Lakeshore Rd, Apt 29"/>
    <s v="N4M 6P1"/>
    <s v="Ethan Thomas"/>
    <n v="2887660"/>
    <d v="2022-04-19T00:00:00"/>
    <s v="Toronto"/>
    <n v="2.0500000000000001E-2"/>
    <n v="1"/>
    <s v="Business properties and retail"/>
    <s v="Valid"/>
    <s v="Mismatch"/>
    <s v="Valid"/>
    <s v="Unique"/>
    <s v="Valid"/>
    <s v="Valid"/>
    <s v="Valid"/>
    <s v="Complete"/>
    <n v="4842179.1619999995"/>
    <n v="12553041.036323847"/>
    <s v="Normal"/>
    <x v="1"/>
  </r>
  <r>
    <s v="2181-TOR-940-00308"/>
    <s v="TOR"/>
    <x v="1"/>
    <x v="1"/>
    <x v="2"/>
    <n v="758101"/>
    <n v="1.6500000000000001E-2"/>
    <n v="14024.87"/>
    <s v="5895 King St"/>
    <s v="A3S 9R5"/>
    <s v="Sophia Thomas"/>
    <n v="797762"/>
    <d v="2021-05-15T00:00:00"/>
    <s v="Toronto"/>
    <n v="1.8499999999999999E-2"/>
    <n v="1"/>
    <s v="Manufacturing and warehousing"/>
    <s v="Valid"/>
    <s v="Match"/>
    <s v="Valid"/>
    <s v="Unique"/>
    <s v="Valid"/>
    <s v="Valid"/>
    <s v="Valid"/>
    <s v="Complete"/>
    <n v="4842179.1619999995"/>
    <n v="12553041.036323847"/>
    <s v="Normal"/>
    <x v="0"/>
  </r>
  <r>
    <s v="2259-HAM-963-00309"/>
    <s v="HAM"/>
    <x v="7"/>
    <x v="2"/>
    <x v="1"/>
    <n v="971636"/>
    <n v="7.7999999999999996E-3"/>
    <n v="9522.0300000000007"/>
    <s v="5912 Wellington St, Apt 5"/>
    <s v="G0C 0G7"/>
    <s v="Michael Brown"/>
    <n v="921137"/>
    <d v="2023-08-31T00:00:00"/>
    <s v="Hamilton"/>
    <n v="9.7999999999999997E-3"/>
    <n v="1"/>
    <s v="Farms and rural properties"/>
    <s v="Valid"/>
    <s v="Match"/>
    <s v="Valid"/>
    <s v="Unique"/>
    <s v="Valid"/>
    <s v="Valid"/>
    <s v="Valid"/>
    <s v="Complete"/>
    <n v="4842179.1619999995"/>
    <n v="12553041.036323847"/>
    <s v="Normal"/>
    <x v="0"/>
  </r>
  <r>
    <s v="2468-MSS-621-00310"/>
    <s v="MSS"/>
    <x v="6"/>
    <x v="4"/>
    <x v="3"/>
    <n v="8516032"/>
    <n v="1.52E-2"/>
    <n v="129443.69"/>
    <s v="6958 Elm St"/>
    <s v="R5K 2S9"/>
    <s v="Chloe Jackson"/>
    <n v="9842997"/>
    <d v="2024-12-29T00:00:00"/>
    <s v="Mississauga"/>
    <n v="1.52E-2"/>
    <n v="1"/>
    <s v="Apartment buildings and multi-tenant residential"/>
    <s v="Valid"/>
    <s v="Match"/>
    <s v="Valid"/>
    <s v="Unique"/>
    <s v="Valid"/>
    <s v="Valid"/>
    <s v="Valid"/>
    <s v="Complete"/>
    <n v="4842179.1619999995"/>
    <n v="12553041.036323847"/>
    <s v="Normal"/>
    <x v="0"/>
  </r>
  <r>
    <s v="2483-OSH-475-00311"/>
    <s v="OSH"/>
    <x v="2"/>
    <x v="1"/>
    <x v="3"/>
    <n v="9285768"/>
    <n v="1.84E-2"/>
    <n v="170858.13"/>
    <s v="558 Main St"/>
    <s v="P1V 1G8"/>
    <s v="White Developments Inc."/>
    <n v="9868243"/>
    <d v="2021-06-10T00:00:00"/>
    <s v="Oshawa"/>
    <n v="1.84E-2"/>
    <n v="1"/>
    <s v="Manufacturing and warehousing"/>
    <s v="Valid"/>
    <s v="Match"/>
    <s v="Valid"/>
    <s v="Unique"/>
    <s v="Valid"/>
    <s v="Valid"/>
    <s v="Valid"/>
    <s v="Complete"/>
    <n v="4842179.1619999995"/>
    <n v="12553041.036323847"/>
    <s v="Normal"/>
    <x v="0"/>
  </r>
  <r>
    <s v="2190-OSH-859-00312"/>
    <s v="OSH"/>
    <x v="2"/>
    <x v="4"/>
    <x v="2"/>
    <n v="4576384"/>
    <n v="1.47E-2"/>
    <n v="67022.84"/>
    <s v="1289 Park Ave"/>
    <s v="M9B 5Y0"/>
    <s v="Ethan Clark"/>
    <n v="4870331"/>
    <d v="2022-09-19T00:00:00"/>
    <s v="Oshawa"/>
    <n v="1.47E-2"/>
    <n v="1"/>
    <s v="Apartment buildings and multi-tenant residential"/>
    <s v="Valid"/>
    <s v="Match"/>
    <s v="Mismatch"/>
    <s v="Unique"/>
    <s v="Valid"/>
    <s v="Valid"/>
    <s v="Valid"/>
    <s v="Complete"/>
    <n v="4842179.1619999995"/>
    <n v="12553041.036323847"/>
    <s v="Normal"/>
    <x v="1"/>
  </r>
  <r>
    <s v="2314-BRN-811-00313"/>
    <s v="BRN"/>
    <x v="3"/>
    <x v="1"/>
    <x v="0"/>
    <n v="3555676"/>
    <n v="1.8599999999999998E-2"/>
    <n v="66135.570000000007"/>
    <s v="9801 Church St"/>
    <s v="L0V 9H9"/>
    <s v="Fatima White"/>
    <n v="4117768"/>
    <d v="2020-02-25T00:00:00"/>
    <s v="Brampton"/>
    <n v="1.8599999999999998E-2"/>
    <n v="1"/>
    <s v="Manufacturing and warehousing"/>
    <s v="Valid"/>
    <s v="Match"/>
    <s v="Valid"/>
    <s v="Unique"/>
    <s v="Valid"/>
    <s v="Valid"/>
    <s v="Valid"/>
    <s v="Complete"/>
    <n v="4842179.1619999995"/>
    <n v="12553041.036323847"/>
    <s v="Normal"/>
    <x v="0"/>
  </r>
  <r>
    <s v="2119-WDR-971-00314"/>
    <s v="WDR"/>
    <x v="8"/>
    <x v="2"/>
    <x v="2"/>
    <n v="829506"/>
    <n v="9.7000000000000003E-3"/>
    <n v="8046.21"/>
    <s v="4562 Church St, Suite 9"/>
    <s v="L0E 9H9"/>
    <s v="Emma Anderson"/>
    <n v="981093"/>
    <d v="2021-12-06T00:00:00"/>
    <s v="Windsor"/>
    <n v="9.7000000000000003E-3"/>
    <n v="1"/>
    <s v="Farms and rural properties"/>
    <s v="Valid"/>
    <s v="Match"/>
    <s v="Valid"/>
    <s v="Unique"/>
    <s v="Valid"/>
    <s v="Valid"/>
    <s v="Valid"/>
    <s v="Complete"/>
    <n v="4842179.1619999995"/>
    <n v="12553041.036323847"/>
    <s v="Normal"/>
    <x v="0"/>
  </r>
  <r>
    <s v="2214-LON-451-00315"/>
    <s v="LON"/>
    <x v="4"/>
    <x v="2"/>
    <x v="1"/>
    <n v="2745910"/>
    <n v="9.4000000000000004E-3"/>
    <n v="25811.55"/>
    <s v="1392 Queen St"/>
    <s v="G7S 6K7"/>
    <s v="Aisha Williams"/>
    <n v="3026583"/>
    <d v="2022-11-14T00:00:00"/>
    <s v="London"/>
    <n v="9.4000000000000004E-3"/>
    <n v="1"/>
    <s v="Farms and rural properties"/>
    <s v="Valid"/>
    <s v="Match"/>
    <s v="Valid"/>
    <s v="Unique"/>
    <s v="Valid"/>
    <s v="Valid"/>
    <s v="Valid"/>
    <s v="Complete"/>
    <n v="4842179.1619999995"/>
    <n v="12553041.036323847"/>
    <s v="Normal"/>
    <x v="0"/>
  </r>
  <r>
    <s v="2169-TOR-508-00316"/>
    <s v="TOR"/>
    <x v="1"/>
    <x v="1"/>
    <x v="2"/>
    <n v="1847713"/>
    <n v="1.8499999999999999E-2"/>
    <n v="34182.69"/>
    <s v="7812 Church St"/>
    <s v="Y3R 6V4"/>
    <s v="Liam Smith"/>
    <n v="1849704"/>
    <d v="2024-01-13T00:00:00"/>
    <s v="Toronto"/>
    <n v="1.8499999999999999E-2"/>
    <n v="1"/>
    <s v="Manufacturing and warehousing"/>
    <s v="Valid"/>
    <s v="Match"/>
    <s v="Valid"/>
    <s v="Unique"/>
    <s v="Valid"/>
    <s v="Valid"/>
    <s v="Valid"/>
    <s v="Complete"/>
    <n v="4842179.1619999995"/>
    <n v="12553041.036323847"/>
    <s v="Normal"/>
    <x v="0"/>
  </r>
  <r>
    <s v="2178-BRN-752-00317"/>
    <s v="BRN"/>
    <x v="3"/>
    <x v="1"/>
    <x v="2"/>
    <n v="2298787"/>
    <n v="1.8599999999999998E-2"/>
    <n v="42757.440000000002"/>
    <s v="5807 Wellington St"/>
    <s v="L5L 4E4"/>
    <s v="Sophia Martin"/>
    <n v="2690967"/>
    <d v="2021-09-17T00:00:00"/>
    <s v="Brampton"/>
    <n v="1.8599999999999998E-2"/>
    <n v="1"/>
    <s v="Manufacturing and warehousing"/>
    <s v="Valid"/>
    <s v="Match"/>
    <s v="Valid"/>
    <s v="Unique"/>
    <s v="Valid"/>
    <s v="Valid"/>
    <s v="Valid"/>
    <s v="Complete"/>
    <n v="4842179.1619999995"/>
    <n v="12553041.036323847"/>
    <s v="Normal"/>
    <x v="0"/>
  </r>
  <r>
    <s v="2333-GUE-420-00318"/>
    <s v="GUE"/>
    <x v="5"/>
    <x v="3"/>
    <x v="0"/>
    <n v="3246808"/>
    <n v="2.0500000000000001E-2"/>
    <n v="66459.56"/>
    <s v="8982 Main St"/>
    <s v="C0S 1X1"/>
    <s v="Noah Williams"/>
    <n v="3746290"/>
    <d v="2021-05-30T00:00:00"/>
    <s v="Guelph"/>
    <n v="2.0500000000000001E-2"/>
    <n v="1"/>
    <s v="Business properties and retail"/>
    <s v="Valid"/>
    <s v="Match"/>
    <s v="Mismatch"/>
    <s v="Unique"/>
    <s v="Valid"/>
    <s v="Valid"/>
    <s v="Valid"/>
    <s v="Complete"/>
    <n v="4842179.1619999995"/>
    <n v="12553041.036323847"/>
    <s v="Normal"/>
    <x v="1"/>
  </r>
  <r>
    <s v="2117-LON-708-00319"/>
    <s v="LON"/>
    <x v="4"/>
    <x v="0"/>
    <x v="2"/>
    <n v="864083"/>
    <n v="1.24E-2"/>
    <n v="10714.63"/>
    <s v="3562 Cedar Ave"/>
    <s v="E1G 6H1"/>
    <s v="James Taylor"/>
    <n v="918896"/>
    <d v="2019-11-07T00:00:00"/>
    <s v="London"/>
    <n v="1.24E-2"/>
    <n v="1"/>
    <s v="Single-family and multi-unit homes"/>
    <s v="Valid"/>
    <s v="Match"/>
    <s v="Valid"/>
    <s v="Unique"/>
    <s v="Valid"/>
    <s v="Valid"/>
    <s v="Valid"/>
    <s v="Complete"/>
    <n v="4842179.1619999995"/>
    <n v="12553041.036323847"/>
    <s v="Normal"/>
    <x v="0"/>
  </r>
  <r>
    <s v="2495-MSS-888-00320"/>
    <s v="MSS"/>
    <x v="6"/>
    <x v="1"/>
    <x v="3"/>
    <n v="6443352"/>
    <n v="1.7899999999999999E-2"/>
    <n v="121779.35"/>
    <s v="5308 Church St, Unit 9"/>
    <s v="B6R 5B4"/>
    <s v="Taylor Properties Inc."/>
    <n v="6792589"/>
    <d v="2023-10-05T00:00:00"/>
    <s v="Mississauga"/>
    <n v="1.89E-2"/>
    <n v="1"/>
    <s v="Manufacturing and warehousing"/>
    <s v="Valid"/>
    <s v="Match"/>
    <s v="Valid"/>
    <s v="Unique"/>
    <s v="Valid"/>
    <s v="Valid"/>
    <s v="Valid"/>
    <s v="Complete"/>
    <n v="4842179.1619999995"/>
    <n v="12553041.036323847"/>
    <s v="Normal"/>
    <x v="0"/>
  </r>
  <r>
    <s v="2472-LON-211-00321"/>
    <s v="LON"/>
    <x v="4"/>
    <x v="4"/>
    <x v="3"/>
    <n v="3987046"/>
    <n v="1.47E-2"/>
    <n v="58609.58"/>
    <s v="2367 Elm St"/>
    <s v="J9E 7L1"/>
    <s v="David Patel"/>
    <n v="4603606"/>
    <d v="2023-07-03T00:00:00"/>
    <s v="London"/>
    <n v="1.47E-2"/>
    <n v="1"/>
    <s v="Apartment buildings and multi-tenant residential"/>
    <s v="Valid"/>
    <s v="Match"/>
    <s v="Valid"/>
    <s v="Unique"/>
    <s v="Valid"/>
    <s v="Valid"/>
    <s v="Valid"/>
    <s v="Complete"/>
    <n v="4842179.1619999995"/>
    <n v="12553041.036323847"/>
    <s v="Normal"/>
    <x v="0"/>
  </r>
  <r>
    <s v="2210-TOR-138-00322"/>
    <s v="TOR"/>
    <x v="1"/>
    <x v="2"/>
    <x v="1"/>
    <n v="2192695"/>
    <n v="9.4999999999999998E-3"/>
    <n v="20580.599999999999"/>
    <s v="6407 Church St, Suite 29"/>
    <s v="R9A 8V7"/>
    <s v="David Lee"/>
    <n v="2146750"/>
    <d v="2023-04-24T00:00:00"/>
    <s v="Toronto"/>
    <n v="9.4999999999999998E-3"/>
    <n v="1"/>
    <s v="Farms and rural properties"/>
    <s v="Valid"/>
    <s v="Match"/>
    <s v="Mismatch"/>
    <s v="Unique"/>
    <s v="Valid"/>
    <s v="Valid"/>
    <s v="Valid"/>
    <s v="Complete"/>
    <n v="4842179.1619999995"/>
    <n v="12553041.036323847"/>
    <s v="Normal"/>
    <x v="1"/>
  </r>
  <r>
    <s v="2348-MSS-510-00323"/>
    <s v="MSS"/>
    <x v="6"/>
    <x v="0"/>
    <x v="0"/>
    <n v="658442"/>
    <n v="1.29E-2"/>
    <n v="8493.9"/>
    <s v="914 Park Ave"/>
    <s v="C5Y 5C7"/>
    <s v="Fatima Nguyen"/>
    <n v="639408"/>
    <d v="2023-02-09T00:00:00"/>
    <s v="Mississauga"/>
    <n v="1.29E-2"/>
    <n v="1"/>
    <s v="Single-family and multi-unit homes"/>
    <s v="Valid"/>
    <s v="Match"/>
    <s v="Valid"/>
    <s v="Unique"/>
    <s v="Valid"/>
    <s v="Valid"/>
    <s v="Valid"/>
    <s v="Complete"/>
    <n v="4842179.1619999995"/>
    <n v="12553041.036323847"/>
    <s v="Normal"/>
    <x v="0"/>
  </r>
  <r>
    <s v="2259-TOR-209-00324"/>
    <s v="TOR"/>
    <x v="1"/>
    <x v="2"/>
    <x v="1"/>
    <n v="1220896"/>
    <n v="9.4999999999999998E-3"/>
    <n v="11598.51"/>
    <s v="5896 Lakeshore Rd, Apt 15"/>
    <s v="J2B 3A9"/>
    <s v=""/>
    <n v="1437555"/>
    <d v="2022-06-14T00:00:00"/>
    <s v="Toronto"/>
    <n v="9.4999999999999998E-3"/>
    <n v="1"/>
    <s v="Farms and rural properties"/>
    <s v="Valid"/>
    <s v="Match"/>
    <s v="Valid"/>
    <s v="Unique"/>
    <s v="Valid"/>
    <s v="Valid"/>
    <s v="Valid"/>
    <s v="Complete"/>
    <n v="4842179.1619999995"/>
    <n v="12553041.036323847"/>
    <s v="Normal"/>
    <x v="0"/>
  </r>
  <r>
    <s v="2412-MSS-137-00325"/>
    <s v="MSS"/>
    <x v="6"/>
    <x v="4"/>
    <x v="3"/>
    <n v="15175095"/>
    <n v="1.52E-2"/>
    <n v="230661.44"/>
    <s v="5568 Main St"/>
    <s v="B6E 3X7"/>
    <s v="Jackson Group Inc."/>
    <n v="14448720"/>
    <d v="2024-04-01T00:00:00"/>
    <s v="Mississauga"/>
    <n v="1.52E-2"/>
    <n v="1"/>
    <s v="Apartment buildings and multi-tenant residential"/>
    <s v="Valid"/>
    <s v="Match"/>
    <s v="Valid"/>
    <s v="Unique"/>
    <s v="Valid"/>
    <s v="Valid"/>
    <s v="Valid"/>
    <s v="Complete"/>
    <n v="4842179.1619999995"/>
    <n v="12553041.036323847"/>
    <s v="Normal"/>
    <x v="0"/>
  </r>
  <r>
    <s v="2172-LON-769-00326"/>
    <s v="LON"/>
    <x v="4"/>
    <x v="0"/>
    <x v="2"/>
    <n v="969836"/>
    <n v="1.24E-2"/>
    <n v="12025.97"/>
    <s v="322 Lakeshore Rd"/>
    <s v="B3G 0H0"/>
    <s v="Jackson Holdings Inc."/>
    <n v="1027701"/>
    <d v="2020-11-30T00:00:00"/>
    <s v="London"/>
    <n v="1.24E-2"/>
    <n v="1"/>
    <s v="Single-family and multi-unit homes"/>
    <s v="Valid"/>
    <s v="Match"/>
    <s v="Valid"/>
    <s v="Unique"/>
    <s v="Valid"/>
    <s v="Valid"/>
    <s v="Valid"/>
    <s v="Complete"/>
    <n v="4842179.1619999995"/>
    <n v="12553041.036323847"/>
    <s v="Normal"/>
    <x v="0"/>
  </r>
  <r>
    <s v="2186-GUE-918-00327"/>
    <s v="GUE"/>
    <x v="5"/>
    <x v="0"/>
    <x v="2"/>
    <n v="488935"/>
    <n v="1.2500000000000001E-2"/>
    <n v="6111.69"/>
    <s v="3623 King St"/>
    <s v="S5R 5E9"/>
    <s v="Olivia Jackson"/>
    <n v="605127"/>
    <d v="2021-05-23T00:00:00"/>
    <s v="Guelph"/>
    <n v="1.2500000000000001E-2"/>
    <n v="1"/>
    <s v="Single-family and multi-unit homes"/>
    <s v="Valid"/>
    <s v="Match"/>
    <s v="Valid"/>
    <s v="Unique"/>
    <s v="Valid"/>
    <s v="Valid"/>
    <s v="Valid"/>
    <s v="Complete"/>
    <n v="4842179.1619999995"/>
    <n v="12553041.036323847"/>
    <s v="Normal"/>
    <x v="0"/>
  </r>
  <r>
    <s v="2225-TOR-380-00328"/>
    <s v="TOR"/>
    <x v="1"/>
    <x v="4"/>
    <x v="1"/>
    <n v="45336710"/>
    <n v="1.4800000000000001E-2"/>
    <n v="670983.31000000006"/>
    <s v="2324 Wellington St, Suite 18"/>
    <s v="H7K 9B2"/>
    <s v="Sophia White"/>
    <n v="5162634"/>
    <d v="2024-06-17T00:00:00"/>
    <s v="Toronto"/>
    <n v="1.4800000000000001E-2"/>
    <n v="1"/>
    <s v="Apartment buildings and multi-tenant residential"/>
    <s v="Valid"/>
    <s v="Match"/>
    <s v="Valid"/>
    <s v="Unique"/>
    <s v="Valid"/>
    <s v="Valid"/>
    <s v="Valid"/>
    <s v="Complete"/>
    <n v="4842179.1619999995"/>
    <n v="12553041.036323847"/>
    <s v="Outlier"/>
    <x v="1"/>
  </r>
  <r>
    <s v="2121-OTT-823-00329"/>
    <s v="OTT"/>
    <x v="0"/>
    <x v="0"/>
    <x v="2"/>
    <n v="549510"/>
    <n v="1.21E-2"/>
    <n v="6649.07"/>
    <s v="9737 Church St"/>
    <s v="V2J 2L8"/>
    <s v="Grace Johnson"/>
    <n v="611983"/>
    <d v="2019-06-04T00:00:00"/>
    <s v="Ottawa"/>
    <n v="1.21E-2"/>
    <n v="1"/>
    <s v="Single-family and multi-unit homes"/>
    <s v="Valid"/>
    <s v="Match"/>
    <s v="Valid"/>
    <s v="Unique"/>
    <s v="Valid"/>
    <s v="Valid"/>
    <s v="Valid"/>
    <s v="Complete"/>
    <n v="4842179.1619999995"/>
    <n v="12553041.036323847"/>
    <s v="Normal"/>
    <x v="0"/>
  </r>
  <r>
    <s v="2421-GUE-742-00330"/>
    <s v="GUE"/>
    <x v="5"/>
    <x v="3"/>
    <x v="3"/>
    <n v="2979307"/>
    <n v="2.0500000000000001E-2"/>
    <n v="61075.79"/>
    <s v="4944 Victoria Rd"/>
    <s v="Y3J 1X1"/>
    <s v="Ella Lee"/>
    <n v="2910028"/>
    <d v="2024-07-06T00:00:00"/>
    <s v="Guelph"/>
    <n v="2.0500000000000001E-2"/>
    <n v="1"/>
    <s v="Business properties and retail"/>
    <s v="Valid"/>
    <s v="Match"/>
    <s v="Valid"/>
    <s v="Unique"/>
    <s v="Valid"/>
    <s v="Valid"/>
    <s v="Valid"/>
    <s v="Complete"/>
    <n v="4842179.1619999995"/>
    <n v="12553041.036323847"/>
    <s v="Normal"/>
    <x v="0"/>
  </r>
  <r>
    <s v="2129-LON-801-00331"/>
    <s v="LON"/>
    <x v="4"/>
    <x v="1"/>
    <x v="2"/>
    <n v="2996212"/>
    <n v="1.84E-2"/>
    <n v="55130.3"/>
    <s v="7782 Lakeshore Rd, Apt 30"/>
    <s v="B0P 4J6"/>
    <s v="Emma Smith"/>
    <n v="2806095"/>
    <d v="2019-08-03T00:00:00"/>
    <s v="London"/>
    <n v="1.84E-2"/>
    <n v="1"/>
    <s v="Manufacturing and warehousing"/>
    <s v="Valid"/>
    <s v="Match"/>
    <s v="Valid"/>
    <s v="Unique"/>
    <s v="Valid"/>
    <s v="Valid"/>
    <s v="Valid"/>
    <s v="Complete"/>
    <n v="4842179.1619999995"/>
    <n v="12553041.036323847"/>
    <s v="Normal"/>
    <x v="0"/>
  </r>
  <r>
    <s v="2272-OSH-627-00332"/>
    <s v="OSH"/>
    <x v="2"/>
    <x v="3"/>
    <x v="1"/>
    <n v="3753842"/>
    <n v="2.0400000000000001E-2"/>
    <n v="76578.38"/>
    <s v="1911 King St"/>
    <s v="T9N 6J5"/>
    <s v="Sarah Anderson"/>
    <n v="3677728"/>
    <d v="2021-08-29T00:00:00"/>
    <s v="Oshawa"/>
    <n v="2.0400000000000001E-2"/>
    <n v="1"/>
    <s v="Business properties and retail"/>
    <s v="Valid"/>
    <s v="Match"/>
    <s v="Valid"/>
    <s v="Unique"/>
    <s v="Valid"/>
    <s v="Valid"/>
    <s v="Valid"/>
    <s v="Complete"/>
    <n v="4842179.1619999995"/>
    <n v="12553041.036323847"/>
    <s v="Normal"/>
    <x v="0"/>
  </r>
  <r>
    <s v="2419-BRN-582-00333"/>
    <s v="BRN"/>
    <x v="3"/>
    <x v="3"/>
    <x v="3"/>
    <n v="4401535"/>
    <n v="2.06E-2"/>
    <n v="90671.62"/>
    <s v="9596 Lakeshore Rd, Suite 5"/>
    <s v="J9T 2R5"/>
    <s v="Daniel Nguyen"/>
    <n v="4513803"/>
    <d v="2022-07-07T00:00:00"/>
    <s v="Brampton"/>
    <n v="2.06E-2"/>
    <n v="1"/>
    <s v="Business properties and retail"/>
    <s v="Valid"/>
    <s v="Match"/>
    <s v="Valid"/>
    <s v="Unique"/>
    <s v="Valid"/>
    <s v="Valid"/>
    <s v="Valid"/>
    <s v="Complete"/>
    <n v="4842179.1619999995"/>
    <n v="12553041.036323847"/>
    <s v="Normal"/>
    <x v="0"/>
  </r>
  <r>
    <s v="2282-LON-161-00334"/>
    <s v="LON"/>
    <x v="4"/>
    <x v="1"/>
    <x v="1"/>
    <n v="1575338"/>
    <n v="1.84E-2"/>
    <n v="28986.22"/>
    <s v="4607 Queen St, Suite 15"/>
    <s v="S2N 3M9"/>
    <s v="Aisha Patel"/>
    <n v="1952706"/>
    <d v="2021-07-29T00:00:00"/>
    <s v="London"/>
    <n v="1.84E-2"/>
    <n v="1"/>
    <s v="Manufacturing and warehousing"/>
    <s v="Valid"/>
    <s v="Match"/>
    <s v="Valid"/>
    <s v="Unique"/>
    <s v="Valid"/>
    <s v="Valid"/>
    <s v="Valid"/>
    <s v="Complete"/>
    <n v="4842179.1619999995"/>
    <n v="12553041.036323847"/>
    <s v="Normal"/>
    <x v="0"/>
  </r>
  <r>
    <s v="2437-OTT-705-00335"/>
    <s v="OTT"/>
    <x v="0"/>
    <x v="2"/>
    <x v="3"/>
    <n v="3046275"/>
    <n v="9.1000000000000004E-3"/>
    <n v="27721.1"/>
    <s v="7767 Lakeshore Rd"/>
    <s v="S3K 5S9"/>
    <s v="Michael Clark"/>
    <n v="3353325"/>
    <d v="2021-01-11T00:00:00"/>
    <s v="Ottawa"/>
    <n v="9.1000000000000004E-3"/>
    <n v="1"/>
    <s v="Farms and rural properties"/>
    <s v="Valid"/>
    <s v="Match"/>
    <s v="Valid"/>
    <s v="Unique"/>
    <s v="Valid"/>
    <s v="Valid"/>
    <s v="Valid"/>
    <s v="Complete"/>
    <n v="4842179.1619999995"/>
    <n v="12553041.036323847"/>
    <s v="Normal"/>
    <x v="0"/>
  </r>
  <r>
    <s v="2174-BRN-134-00336"/>
    <s v="BRN"/>
    <x v="3"/>
    <x v="0"/>
    <x v="2"/>
    <n v="1403709"/>
    <n v="1.26E-2"/>
    <n v="17686.73"/>
    <s v="6984 Elm St"/>
    <s v="E7V 3C8"/>
    <s v="Liam Williams"/>
    <n v="1328539"/>
    <d v="2022-04-26T00:00:00"/>
    <s v="Brampton"/>
    <n v="1.26E-2"/>
    <n v="1"/>
    <s v="Single-family and multi-unit homes"/>
    <s v="Valid"/>
    <s v="Match"/>
    <s v="Valid"/>
    <s v="Unique"/>
    <s v="Valid"/>
    <s v="Valid"/>
    <s v="Valid"/>
    <s v="Complete"/>
    <n v="4842179.1619999995"/>
    <n v="12553041.036323847"/>
    <s v="Normal"/>
    <x v="0"/>
  </r>
  <r>
    <s v="2149-LON-265-00337"/>
    <s v="LON"/>
    <x v="4"/>
    <x v="0"/>
    <x v="2"/>
    <n v="756541"/>
    <n v="1.24E-2"/>
    <n v="9381.11"/>
    <s v="7534 Cedar Ave"/>
    <s v="A7T 2R2"/>
    <s v="Anderson Investments Inc."/>
    <n v="867273"/>
    <d v="2019-01-06T00:00:00"/>
    <s v="London"/>
    <n v="1.24E-2"/>
    <n v="1"/>
    <s v="Single-family and multi-unit homes"/>
    <s v="Valid"/>
    <s v="Match"/>
    <s v="Valid"/>
    <s v="Unique"/>
    <s v="Valid"/>
    <s v="Valid"/>
    <s v="Valid"/>
    <s v="Complete"/>
    <n v="4842179.1619999995"/>
    <n v="12553041.036323847"/>
    <s v="Normal"/>
    <x v="0"/>
  </r>
  <r>
    <s v="2347-OTT-536-00338"/>
    <s v="OTT"/>
    <x v="0"/>
    <x v="2"/>
    <x v="0"/>
    <n v="1817873"/>
    <n v="9.1000000000000004E-3"/>
    <n v="16542.64"/>
    <s v=""/>
    <s v="J1N 0X5"/>
    <s v="Brown Investments Inc."/>
    <n v="1868695"/>
    <d v="2023-06-21T00:00:00"/>
    <s v="Ottawa"/>
    <n v="9.1000000000000004E-3"/>
    <n v="1"/>
    <s v="Farms and rural properties"/>
    <s v="Valid"/>
    <s v="Match"/>
    <s v="Valid"/>
    <s v="Unique"/>
    <s v="Valid"/>
    <s v="Valid"/>
    <s v="Valid"/>
    <s v="Complete"/>
    <n v="4842179.1619999995"/>
    <n v="12553041.036323847"/>
    <s v="Normal"/>
    <x v="0"/>
  </r>
  <r>
    <s v="2381-TOR-821-00339"/>
    <s v="TOR"/>
    <x v="1"/>
    <x v="1"/>
    <x v="0"/>
    <n v="2879238"/>
    <n v="1.8499999999999999E-2"/>
    <n v="53265.9"/>
    <s v="1107 Elm St"/>
    <s v="J2N 3Y1"/>
    <s v="Daniel White"/>
    <n v="3342092"/>
    <d v="2021-04-06T00:00:00"/>
    <s v="Toronto"/>
    <n v="1.8499999999999999E-2"/>
    <n v="1"/>
    <s v="Manufacturing and warehousing"/>
    <s v="Valid"/>
    <s v="Match"/>
    <s v="Valid"/>
    <s v="Unique"/>
    <s v="Valid"/>
    <s v="Valid"/>
    <s v="Valid"/>
    <s v="Complete"/>
    <n v="4842179.1619999995"/>
    <n v="12553041.036323847"/>
    <s v="Normal"/>
    <x v="0"/>
  </r>
  <r>
    <s v="2364-KIN-383-00340"/>
    <s v="KIN"/>
    <x v="10"/>
    <x v="1"/>
    <x v="0"/>
    <n v="4942928"/>
    <n v="1.83E-2"/>
    <n v="90455.58"/>
    <s v="902 King St"/>
    <s v="T7X 8E7"/>
    <s v="Ella Clark"/>
    <n v="4954260"/>
    <d v="2023-06-25T00:00:00"/>
    <s v="Kingston"/>
    <n v="1.83E-2"/>
    <n v="1"/>
    <s v="Manufacturing and warehousing"/>
    <s v="Valid"/>
    <s v="Match"/>
    <s v="Valid"/>
    <s v="Unique"/>
    <s v="Valid"/>
    <s v="Valid"/>
    <s v="Valid"/>
    <s v="Complete"/>
    <n v="4842179.1619999995"/>
    <n v="12553041.036323847"/>
    <s v="Normal"/>
    <x v="0"/>
  </r>
  <r>
    <s v="2268-KIN-189-00341"/>
    <s v="KIN"/>
    <x v="10"/>
    <x v="0"/>
    <x v="1"/>
    <n v="1161101"/>
    <n v="1.23E-2"/>
    <n v="14281.54"/>
    <s v="1323 Wellington St"/>
    <s v="M1E 2L1"/>
    <s v="Chloe Johnson"/>
    <n v="1400575"/>
    <d v="2024-11-02T00:00:00"/>
    <s v="Kingston"/>
    <n v="1.23E-2"/>
    <n v="1"/>
    <s v="Single-family and multi-unit homes"/>
    <s v="Valid"/>
    <s v="Match"/>
    <s v="Valid"/>
    <s v="Unique"/>
    <s v="Valid"/>
    <s v="Valid"/>
    <s v="Valid"/>
    <s v="Complete"/>
    <n v="4842179.1619999995"/>
    <n v="12553041.036323847"/>
    <s v="Normal"/>
    <x v="0"/>
  </r>
  <r>
    <s v="2479-TOR-235-00342"/>
    <s v="TOR"/>
    <x v="1"/>
    <x v="1"/>
    <x v="3"/>
    <n v="10252924"/>
    <n v="1.8499999999999999E-2"/>
    <n v="189679.09"/>
    <s v="7774 Victoria Rd"/>
    <s v="A4J 1A3"/>
    <s v="Lee Developments Inc."/>
    <n v="10704997"/>
    <d v="2022-12-04T00:00:00"/>
    <s v="Toronto"/>
    <n v="1.8499999999999999E-2"/>
    <n v="1"/>
    <s v="Manufacturing and warehousing"/>
    <s v="Valid"/>
    <s v="Match"/>
    <s v="Valid"/>
    <s v="Unique"/>
    <s v="Valid"/>
    <s v="Valid"/>
    <s v="Valid"/>
    <s v="Complete"/>
    <n v="4842179.1619999995"/>
    <n v="12553041.036323847"/>
    <s v="Normal"/>
    <x v="0"/>
  </r>
  <r>
    <s v="2482-KIN-235-00343"/>
    <s v="KIN"/>
    <x v="10"/>
    <x v="2"/>
    <x v="3"/>
    <n v="1616946"/>
    <n v="9.2999999999999992E-3"/>
    <n v="14787.6"/>
    <s v="5031 Queen St"/>
    <s v="K7P 4B2"/>
    <s v="Emma Johnson"/>
    <n v="1805353"/>
    <d v="2021-11-26T00:00:00"/>
    <s v="Kingston"/>
    <n v="9.2999999999999992E-3"/>
    <n v="1"/>
    <s v="Farms and rural properties"/>
    <s v="Valid"/>
    <s v="Match"/>
    <s v="Mismatch"/>
    <s v="Unique"/>
    <s v="Valid"/>
    <s v="Valid"/>
    <s v="Valid"/>
    <s v="Complete"/>
    <n v="4842179.1619999995"/>
    <n v="12553041.036323847"/>
    <s v="Normal"/>
    <x v="1"/>
  </r>
  <r>
    <s v="2298-OSH-782-00344"/>
    <s v="OSH"/>
    <x v="2"/>
    <x v="1"/>
    <x v="1"/>
    <n v="10360499"/>
    <n v="1.84E-2"/>
    <n v="190633.18"/>
    <s v="2524 Queen St, Unit 11"/>
    <s v="G7L 5H3"/>
    <s v="Mary Nguyen"/>
    <n v="10473743"/>
    <d v="2022-11-09T00:00:00"/>
    <s v="Oshawa"/>
    <n v="1.84E-2"/>
    <n v="1"/>
    <s v="Manufacturing and warehousing"/>
    <s v="Valid"/>
    <s v="Match"/>
    <s v="Valid"/>
    <s v="Unique"/>
    <s v="Valid"/>
    <s v="Valid"/>
    <s v="Valid"/>
    <s v="Complete"/>
    <n v="4842179.1619999995"/>
    <n v="12553041.036323847"/>
    <s v="Normal"/>
    <x v="0"/>
  </r>
  <r>
    <s v="2430-HAM-646-00345"/>
    <s v="HAM"/>
    <x v="7"/>
    <x v="1"/>
    <x v="3"/>
    <n v="5205842"/>
    <n v="1.8800000000000001E-2"/>
    <n v="97869.83"/>
    <s v="4950 King St"/>
    <s v="R7G 7N2"/>
    <s v="Ella Lee"/>
    <n v="5288866"/>
    <d v="2024-12-15T00:00:00"/>
    <s v="Hamilton"/>
    <n v="1.8800000000000001E-2"/>
    <n v="1"/>
    <s v="Manufacturing and warehousing"/>
    <s v="Valid"/>
    <s v="Match"/>
    <s v="Valid"/>
    <s v="Unique"/>
    <s v="Valid"/>
    <s v="Valid"/>
    <s v="Valid"/>
    <s v="Complete"/>
    <n v="4842179.1619999995"/>
    <n v="12553041.036323847"/>
    <s v="Normal"/>
    <x v="0"/>
  </r>
  <r>
    <s v="2383-WDR-782-00346"/>
    <s v="WDR"/>
    <x v="8"/>
    <x v="2"/>
    <x v="0"/>
    <n v="3817263"/>
    <n v="9.7000000000000003E-3"/>
    <n v="37027.449999999997"/>
    <s v="2419 Cedar Ave"/>
    <s v="T5E 7B2"/>
    <s v="Sarah Taylor"/>
    <n v="3468665"/>
    <d v="2023-06-18T00:00:00"/>
    <s v="Windsor"/>
    <n v="9.7000000000000003E-3"/>
    <n v="1"/>
    <s v="Farms and rural properties"/>
    <s v="Valid"/>
    <s v="Match"/>
    <s v="Valid"/>
    <s v="Unique"/>
    <s v="Valid"/>
    <s v="Valid"/>
    <s v="Valid"/>
    <s v="Complete"/>
    <n v="4842179.1619999995"/>
    <n v="12553041.036323847"/>
    <s v="Normal"/>
    <x v="0"/>
  </r>
  <r>
    <s v="2317-LON-722-00347"/>
    <s v="LON"/>
    <x v="4"/>
    <x v="2"/>
    <x v="0"/>
    <n v="734643"/>
    <n v="9.4000000000000004E-3"/>
    <n v="6905.64"/>
    <s v="3207 Cedar Ave"/>
    <s v="L3A 1Y7"/>
    <s v="David Lee"/>
    <n v="762595"/>
    <d v="2022-10-01T00:00:00"/>
    <s v="London"/>
    <n v="9.4000000000000004E-3"/>
    <n v="1"/>
    <s v="Farms and rural properties"/>
    <s v="Valid"/>
    <s v="Match"/>
    <s v="Valid"/>
    <s v="Unique"/>
    <s v="Valid"/>
    <s v="Valid"/>
    <s v="Valid"/>
    <s v="Complete"/>
    <n v="4842179.1619999995"/>
    <n v="12553041.036323847"/>
    <s v="Normal"/>
    <x v="0"/>
  </r>
  <r>
    <s v="2156-KIN-507-00348"/>
    <s v="KIN"/>
    <x v="10"/>
    <x v="4"/>
    <x v="2"/>
    <n v="13324813"/>
    <n v="1.46E-2"/>
    <n v="194542.27"/>
    <s v="2433 Wellington St"/>
    <s v="P0M 5P4"/>
    <s v="Jackson Group Inc."/>
    <n v="12400864"/>
    <d v="2023-12-25T00:00:00"/>
    <s v="Kingston"/>
    <n v="1.46E-2"/>
    <n v="1"/>
    <s v="Apartment buildings and multi-tenant residential"/>
    <s v="Valid"/>
    <s v="Match"/>
    <s v="Valid"/>
    <s v="Unique"/>
    <s v="Valid"/>
    <s v="Valid"/>
    <s v="Valid"/>
    <s v="Complete"/>
    <n v="4842179.1619999995"/>
    <n v="12553041.036323847"/>
    <s v="Normal"/>
    <x v="0"/>
  </r>
  <r>
    <s v="2364-BRN-846-00349"/>
    <s v="BRN"/>
    <x v="3"/>
    <x v="2"/>
    <x v="0"/>
    <n v="918127"/>
    <n v="9.5999999999999992E-3"/>
    <n v="8814.02"/>
    <s v="6796 Queen St"/>
    <s v="C2J 4V8"/>
    <s v="Brown Group Inc."/>
    <n v="1069287"/>
    <d v="2020-06-30T00:00:00"/>
    <s v="Brampton"/>
    <n v="9.5999999999999992E-3"/>
    <n v="1"/>
    <s v="Farms and rural properties"/>
    <s v="Valid"/>
    <s v="Match"/>
    <s v="Valid"/>
    <s v="Unique"/>
    <s v="Valid"/>
    <s v="Valid"/>
    <s v="Valid"/>
    <s v="Complete"/>
    <n v="4842179.1619999995"/>
    <n v="12553041.036323847"/>
    <s v="Normal"/>
    <x v="0"/>
  </r>
  <r>
    <s v="2381-TOR-573-00350"/>
    <s v="TOR"/>
    <x v="1"/>
    <x v="2"/>
    <x v="0"/>
    <n v="1503500"/>
    <n v="9.4999999999999998E-3"/>
    <n v="14283.25"/>
    <s v="9314 Queen St, Suite 10"/>
    <s v="Y7B 4M7"/>
    <s v="Emma Williams"/>
    <n v="1367274"/>
    <d v="2020-01-06T00:00:00"/>
    <s v="Toronto"/>
    <n v="9.4999999999999998E-3"/>
    <n v="1"/>
    <s v="Farms and rural properties"/>
    <s v="Valid"/>
    <s v="Match"/>
    <s v="Valid"/>
    <s v="Unique"/>
    <s v="Valid"/>
    <s v="Valid"/>
    <s v="Valid"/>
    <s v="Complete"/>
    <n v="4842179.1619999995"/>
    <n v="12553041.036323847"/>
    <s v="Normal"/>
    <x v="0"/>
  </r>
  <r>
    <s v="2391-HAM-583-00351"/>
    <s v="HAM"/>
    <x v="7"/>
    <x v="1"/>
    <x v="0"/>
    <n v="9899664"/>
    <n v="1.8800000000000001E-2"/>
    <n v="186113.68"/>
    <s v="2044 Park Ave"/>
    <s v="M6H 7K0"/>
    <s v="James Martin"/>
    <n v="12354944"/>
    <d v="2020-05-16T00:00:00"/>
    <s v="Hamilton"/>
    <n v="1.8800000000000001E-2"/>
    <n v="1"/>
    <s v="Manufacturing and warehousing"/>
    <s v="Valid"/>
    <s v="Match"/>
    <s v="Valid"/>
    <s v="Unique"/>
    <s v="Valid"/>
    <s v="Valid"/>
    <s v="Valid"/>
    <s v="Complete"/>
    <n v="4842179.1619999995"/>
    <n v="12553041.036323847"/>
    <s v="Normal"/>
    <x v="0"/>
  </r>
  <r>
    <s v="2443-GUE-743-00352"/>
    <s v="GUE"/>
    <x v="5"/>
    <x v="1"/>
    <x v="3"/>
    <n v="5398367"/>
    <n v="1.8499999999999999E-2"/>
    <n v="99869.79"/>
    <s v="7809 King St"/>
    <s v="A4H 9B2"/>
    <s v="Michael Anderson"/>
    <n v="5167091"/>
    <d v="2022-07-13T00:00:00"/>
    <s v="Guelph"/>
    <n v="1.8499999999999999E-2"/>
    <n v="1"/>
    <s v="Manufacturing and warehousing"/>
    <s v="Valid"/>
    <s v="Match"/>
    <s v="Valid"/>
    <s v="Unique"/>
    <s v="Valid"/>
    <s v="Valid"/>
    <s v="Valid"/>
    <s v="Complete"/>
    <n v="4842179.1619999995"/>
    <n v="12553041.036323847"/>
    <s v="Normal"/>
    <x v="0"/>
  </r>
  <r>
    <s v="2347-KIN-642-00353"/>
    <s v="KIN"/>
    <x v="10"/>
    <x v="2"/>
    <x v="0"/>
    <n v="582548"/>
    <n v="9.2999999999999992E-3"/>
    <n v="5417.7"/>
    <s v="1268 Elm St, Apt 6"/>
    <s v="E9H 8N5"/>
    <s v="Nguyen Developments Inc."/>
    <m/>
    <d v="2023-11-30T00:00:00"/>
    <s v="Kingston"/>
    <n v="9.2999999999999992E-3"/>
    <n v="1"/>
    <s v="Farms and rural properties"/>
    <s v="Valid"/>
    <s v="Match"/>
    <s v="Valid"/>
    <s v="Unique"/>
    <s v="Valid"/>
    <s v="Valid"/>
    <s v="Valid"/>
    <s v="Complete"/>
    <n v="4842179.1619999995"/>
    <n v="12553041.036323847"/>
    <s v="Normal"/>
    <x v="0"/>
  </r>
  <r>
    <s v="2311-KIN-240-00354"/>
    <s v="KIN"/>
    <x v="10"/>
    <x v="0"/>
    <x v="0"/>
    <n v="1066724"/>
    <n v="1.23E-2"/>
    <n v="13120.71"/>
    <s v="8499 Church St"/>
    <s v="V6N 2E3"/>
    <s v="Grace Jackson"/>
    <n v="1030398"/>
    <d v="2025-01-11T00:00:00"/>
    <s v="Kingston"/>
    <n v="1.23E-2"/>
    <n v="1"/>
    <s v="Single-family and multi-unit homes"/>
    <s v="Valid"/>
    <s v="Match"/>
    <s v="Valid"/>
    <s v="Unique"/>
    <s v="Valid"/>
    <s v="Valid"/>
    <s v="Valid"/>
    <s v="Complete"/>
    <n v="4842179.1619999995"/>
    <n v="12553041.036323847"/>
    <s v="Normal"/>
    <x v="0"/>
  </r>
  <r>
    <s v="2119-OSH-219-00355"/>
    <s v="OSH"/>
    <x v="2"/>
    <x v="4"/>
    <x v="2"/>
    <n v="6205817"/>
    <n v="1.47E-2"/>
    <n v="91225.51"/>
    <s v="2160 Main St"/>
    <s v="M5G 7X5"/>
    <s v="Fatima Smith"/>
    <n v="7202230"/>
    <d v="2020-04-30T00:00:00"/>
    <s v="Oshawa"/>
    <n v="1.47E-2"/>
    <n v="1"/>
    <s v="Apartment buildings and multi-tenant residential"/>
    <s v="Valid"/>
    <s v="Match"/>
    <s v="Valid"/>
    <s v="Unique"/>
    <s v="Valid"/>
    <s v="Valid"/>
    <s v="Valid"/>
    <s v="Complete"/>
    <n v="4842179.1619999995"/>
    <n v="12553041.036323847"/>
    <s v="Normal"/>
    <x v="0"/>
  </r>
  <r>
    <s v="2249-LON-228-00356"/>
    <s v="LON"/>
    <x v="4"/>
    <x v="3"/>
    <x v="1"/>
    <n v="3291286"/>
    <n v="2.0400000000000001E-2"/>
    <n v="67142.23"/>
    <s v="3448 Queen St"/>
    <s v="S1C 0V6"/>
    <s v="Sarah Smith"/>
    <n v="3875717"/>
    <d v="2024-10-04T00:00:00"/>
    <s v="London"/>
    <n v="2.0400000000000001E-2"/>
    <n v="1"/>
    <s v="Business properties and retail"/>
    <s v="Valid"/>
    <s v="Match"/>
    <s v="Valid"/>
    <s v="Unique"/>
    <s v="Valid"/>
    <s v="Valid"/>
    <s v="Valid"/>
    <s v="Complete"/>
    <n v="4842179.1619999995"/>
    <n v="12553041.036323847"/>
    <s v="Normal"/>
    <x v="0"/>
  </r>
  <r>
    <s v="2442-GUE-144-00357"/>
    <s v="GUE"/>
    <x v="5"/>
    <x v="0"/>
    <x v="3"/>
    <n v="493846"/>
    <n v="1.2500000000000001E-2"/>
    <n v="6173.08"/>
    <s v="1095 Church St"/>
    <s v="E1J 9J2"/>
    <s v="John Brown"/>
    <n v="469620"/>
    <d v="2025-03-09T00:00:00"/>
    <s v="Guelph"/>
    <n v="1.2500000000000001E-2"/>
    <n v="1"/>
    <s v="Single-family and multi-unit homes"/>
    <s v="Valid"/>
    <s v="Match"/>
    <s v="Valid"/>
    <s v="Unique"/>
    <s v="Valid"/>
    <s v="Valid"/>
    <s v="Valid"/>
    <s v="Complete"/>
    <n v="4842179.1619999995"/>
    <n v="12553041.036323847"/>
    <s v="Normal"/>
    <x v="0"/>
  </r>
  <r>
    <s v="2374-WDR-899-00358"/>
    <s v="WDR"/>
    <x v="8"/>
    <x v="4"/>
    <x v="0"/>
    <n v="5563964"/>
    <n v="1.4999999999999999E-2"/>
    <n v="83459.460000000006"/>
    <s v="3972 Elm St"/>
    <s v="E9A 8J3"/>
    <s v="Johnson Group Inc."/>
    <n v="5015998"/>
    <d v="2024-01-25T00:00:00"/>
    <s v="Windsor"/>
    <n v="1.4999999999999999E-2"/>
    <n v="1"/>
    <s v="Apartment buildings and multi-tenant residential"/>
    <s v="Valid"/>
    <s v="Match"/>
    <s v="Valid"/>
    <s v="Unique"/>
    <s v="Valid"/>
    <s v="Valid"/>
    <s v="Valid"/>
    <s v="Complete"/>
    <n v="4842179.1619999995"/>
    <n v="12553041.036323847"/>
    <s v="Normal"/>
    <x v="0"/>
  </r>
  <r>
    <s v="2485-OTT-289-00359"/>
    <s v="OTT"/>
    <x v="0"/>
    <x v="3"/>
    <x v="3"/>
    <n v="2139846"/>
    <n v="2.01E-2"/>
    <n v="43010.9"/>
    <s v="7213 Park Ave"/>
    <s v="H5R 6J8"/>
    <s v="Sarah White"/>
    <n v="2663283"/>
    <d v="2021-09-11T00:00:00"/>
    <s v="Ottawa"/>
    <n v="2.01E-2"/>
    <n v="1"/>
    <s v="Business properties and retail"/>
    <s v="Valid"/>
    <s v="Match"/>
    <s v="Valid"/>
    <s v="Unique"/>
    <s v="Valid"/>
    <s v="Valid"/>
    <s v="Valid"/>
    <s v="Complete"/>
    <n v="4842179.1619999995"/>
    <n v="12553041.036323847"/>
    <s v="Normal"/>
    <x v="0"/>
  </r>
  <r>
    <s v="2256-MSS-821-00360"/>
    <s v="MSS"/>
    <x v="6"/>
    <x v="0"/>
    <x v="1"/>
    <n v="768088"/>
    <n v="1.29E-2"/>
    <n v="9908.34"/>
    <s v="4733 Elm St"/>
    <s v="C5V 1R4"/>
    <s v="Fatima Nguyen"/>
    <n v="953706"/>
    <d v="2023-12-24T00:00:00"/>
    <s v="Mississauga"/>
    <n v="1.29E-2"/>
    <n v="1"/>
    <s v="Single-family and multi-unit homes"/>
    <s v="Valid"/>
    <s v="Match"/>
    <s v="Valid"/>
    <s v="Unique"/>
    <s v="Valid"/>
    <s v="Valid"/>
    <s v="Valid"/>
    <s v="Complete"/>
    <n v="4842179.1619999995"/>
    <n v="12553041.036323847"/>
    <s v="Normal"/>
    <x v="0"/>
  </r>
  <r>
    <s v="2464-LON-293-00361"/>
    <s v="LON"/>
    <x v="4"/>
    <x v="4"/>
    <x v="3"/>
    <n v="4985980"/>
    <n v="1.47E-2"/>
    <n v="73293.91"/>
    <s v="1150 Lakeshore Rd"/>
    <s v="P2A 7E6"/>
    <s v="David Brown"/>
    <n v="4737572"/>
    <d v="2023-04-01T00:00:00"/>
    <s v="London"/>
    <n v="1.47E-2"/>
    <n v="1"/>
    <s v="Apartment buildings and multi-tenant residential"/>
    <s v="Valid"/>
    <s v="Match"/>
    <s v="Valid"/>
    <s v="Unique"/>
    <s v="Valid"/>
    <s v="Valid"/>
    <s v="Valid"/>
    <s v="Complete"/>
    <n v="4842179.1619999995"/>
    <n v="12553041.036323847"/>
    <s v="Normal"/>
    <x v="0"/>
  </r>
  <r>
    <s v="2235-GUE-446-00362"/>
    <s v="GUE"/>
    <x v="5"/>
    <x v="0"/>
    <x v="1"/>
    <n v="429876"/>
    <n v="1.2500000000000001E-2"/>
    <n v="5373.45"/>
    <s v="3291 Cedar Ave"/>
    <s v="R1K 6V4"/>
    <s v="James White"/>
    <n v="505673"/>
    <d v="2023-06-28T00:00:00"/>
    <s v="Guelph"/>
    <n v="1.2500000000000001E-2"/>
    <n v="1"/>
    <s v="Single-family and multi-unit homes"/>
    <s v="Valid"/>
    <s v="Match"/>
    <s v="Valid"/>
    <s v="Unique"/>
    <s v="Valid"/>
    <s v="Valid"/>
    <s v="Valid"/>
    <s v="Complete"/>
    <n v="4842179.1619999995"/>
    <n v="12553041.036323847"/>
    <s v="Normal"/>
    <x v="0"/>
  </r>
  <r>
    <s v="2475-KIN-385-00363"/>
    <s v="KIN"/>
    <x v="10"/>
    <x v="2"/>
    <x v="3"/>
    <n v="4062571"/>
    <n v="9.2999999999999992E-3"/>
    <n v="37861.910000000003"/>
    <s v="2424 Lakeshore Rd, Suite 16"/>
    <s v="V3G 0E0"/>
    <s v="Martin Holdings Inc."/>
    <n v="5038504"/>
    <d v="2023-02-23T00:00:00"/>
    <s v="Kingston"/>
    <n v="9.2999999999999992E-3"/>
    <n v="1"/>
    <s v="Farms and rural properties"/>
    <s v="Valid"/>
    <s v="Match"/>
    <s v="Mismatch"/>
    <s v="Unique"/>
    <s v="Valid"/>
    <s v="Valid"/>
    <s v="Valid"/>
    <s v="Complete"/>
    <n v="4842179.1619999995"/>
    <n v="12553041.036323847"/>
    <s v="Normal"/>
    <x v="1"/>
  </r>
  <r>
    <s v="2289-GUE-198-00364"/>
    <s v="GUE"/>
    <x v="5"/>
    <x v="1"/>
    <x v="1"/>
    <n v="3636516"/>
    <n v="1.8499999999999999E-2"/>
    <n v="67275.55"/>
    <s v="1263 Park Ave"/>
    <s v="V7J 4V7"/>
    <s v="Ella Anderson"/>
    <n v="4303157"/>
    <d v="2025-01-23T00:00:00"/>
    <s v="Guelph"/>
    <n v="1.8499999999999999E-2"/>
    <n v="1"/>
    <s v="Manufacturing and warehousing"/>
    <s v="Valid"/>
    <s v="Match"/>
    <s v="Valid"/>
    <s v="Unique"/>
    <s v="Valid"/>
    <s v="Valid"/>
    <s v="Valid"/>
    <s v="Complete"/>
    <n v="4842179.1619999995"/>
    <n v="12553041.036323847"/>
    <s v="Normal"/>
    <x v="0"/>
  </r>
  <r>
    <s v="2125-OSH-492-00365"/>
    <s v="OSH"/>
    <x v="2"/>
    <x v="0"/>
    <x v="2"/>
    <n v="1400657"/>
    <n v="1.24E-2"/>
    <n v="17368.150000000001"/>
    <s v="7384 Victoria Rd"/>
    <s v="T7B 0H8"/>
    <s v="Fatima Clark"/>
    <n v="1606723"/>
    <d v="2027-12-27T00:00:00"/>
    <s v="Oshawa"/>
    <n v="1.24E-2"/>
    <n v="1"/>
    <s v="Single-family and multi-unit homes"/>
    <s v="Valid"/>
    <s v="Match"/>
    <s v="Valid"/>
    <s v="Unique"/>
    <s v="Valid"/>
    <s v="Valid"/>
    <s v="Invalid"/>
    <s v="Complete"/>
    <n v="4842179.1619999995"/>
    <n v="12553041.036323847"/>
    <s v="Normal"/>
    <x v="1"/>
  </r>
  <r>
    <s v="2372-BRN-882-00366"/>
    <s v="BRN"/>
    <x v="3"/>
    <x v="3"/>
    <x v="0"/>
    <n v="3414233"/>
    <n v="2.06E-2"/>
    <n v="70333.2"/>
    <s v="1802 Cedar Ave"/>
    <s v="Y8V 7Y2"/>
    <s v="Sophia Taylor"/>
    <n v="3663956"/>
    <d v="2022-02-12T00:00:00"/>
    <s v="Brampton"/>
    <n v="2.06E-2"/>
    <n v="1"/>
    <s v="Business properties and retail"/>
    <s v="Valid"/>
    <s v="Match"/>
    <s v="Valid"/>
    <s v="Unique"/>
    <s v="Valid"/>
    <s v="Valid"/>
    <s v="Valid"/>
    <s v="Complete"/>
    <n v="4842179.1619999995"/>
    <n v="12553041.036323847"/>
    <s v="Normal"/>
    <x v="0"/>
  </r>
  <r>
    <s v="2313-GUE-704-00367"/>
    <s v="GUE"/>
    <x v="5"/>
    <x v="1"/>
    <x v="0"/>
    <n v="3743538"/>
    <n v="1.8499999999999999E-2"/>
    <n v="69255.45"/>
    <s v="749 Queen St"/>
    <s v="INVALID"/>
    <s v="Noah Thomas"/>
    <n v="3829431"/>
    <d v="2023-09-16T00:00:00"/>
    <s v="Guelph"/>
    <n v="1.8499999999999999E-2"/>
    <n v="1"/>
    <s v="Manufacturing and warehousing"/>
    <s v="Valid"/>
    <s v="Match"/>
    <s v="Valid"/>
    <s v="Unique"/>
    <s v="Invalid"/>
    <s v="Valid"/>
    <s v="Valid"/>
    <s v="Complete"/>
    <n v="4842179.1619999995"/>
    <n v="12553041.036323847"/>
    <s v="Normal"/>
    <x v="1"/>
  </r>
  <r>
    <s v="2285-LON-186-00368"/>
    <s v="LON"/>
    <x v="4"/>
    <x v="3"/>
    <x v="1"/>
    <n v="3123006"/>
    <n v="2.0400000000000001E-2"/>
    <n v="63709.32"/>
    <s v="1083 Church St, Unit 1"/>
    <s v="Y5B 7S9"/>
    <s v="Liam Taylor"/>
    <n v="2833006"/>
    <d v="2027-12-08T00:00:00"/>
    <s v="London"/>
    <n v="2.0400000000000001E-2"/>
    <n v="1"/>
    <s v="Business properties and retail"/>
    <s v="Valid"/>
    <s v="Match"/>
    <s v="Valid"/>
    <s v="Unique"/>
    <s v="Valid"/>
    <s v="Valid"/>
    <s v="Invalid"/>
    <s v="Complete"/>
    <n v="4842179.1619999995"/>
    <n v="12553041.036323847"/>
    <s v="Normal"/>
    <x v="1"/>
  </r>
  <r>
    <s v="2359-GUE-430-00369"/>
    <s v="GUE"/>
    <x v="5"/>
    <x v="0"/>
    <x v="0"/>
    <n v="686886"/>
    <n v="1.2500000000000001E-2"/>
    <n v="8586.08"/>
    <s v="9390 King St"/>
    <s v="E3N 7X5"/>
    <s v="Fatima Anderson"/>
    <n v="851258"/>
    <d v="2027-05-03T00:00:00"/>
    <s v="Guelph"/>
    <n v="1.2500000000000001E-2"/>
    <n v="1"/>
    <s v="Single-family and multi-unit homes"/>
    <s v="Valid"/>
    <s v="Match"/>
    <s v="Valid"/>
    <s v="Unique"/>
    <s v="Valid"/>
    <s v="Valid"/>
    <s v="Invalid"/>
    <s v="Complete"/>
    <n v="4842179.1619999995"/>
    <n v="12553041.036323847"/>
    <s v="Normal"/>
    <x v="1"/>
  </r>
  <r>
    <s v="2216-MSS-404-00370"/>
    <s v="MSS"/>
    <x v="6"/>
    <x v="0"/>
    <x v="1"/>
    <n v="629049"/>
    <n v="1.29E-2"/>
    <n v="8114.73"/>
    <s v="9406 Wellington St"/>
    <s v="C9E 9N4"/>
    <s v="Ethan Martin"/>
    <n v="660179"/>
    <d v="2022-11-23T00:00:00"/>
    <s v="Mississauga"/>
    <n v="1.29E-2"/>
    <n v="1"/>
    <s v="Single-family and multi-unit homes"/>
    <s v="Valid"/>
    <s v="Match"/>
    <s v="Valid"/>
    <s v="Unique"/>
    <s v="Valid"/>
    <s v="Valid"/>
    <s v="Valid"/>
    <s v="Complete"/>
    <n v="4842179.1619999995"/>
    <n v="12553041.036323847"/>
    <s v="Normal"/>
    <x v="0"/>
  </r>
  <r>
    <s v="2379-OTT-420-00371"/>
    <s v="OTT"/>
    <x v="0"/>
    <x v="1"/>
    <x v="0"/>
    <n v="4457426"/>
    <n v="1.8100000000000002E-2"/>
    <n v="80679.41"/>
    <s v="3288 Wellington St"/>
    <s v="X7Y 2A8"/>
    <s v="Patel Investments Inc."/>
    <n v="4343911"/>
    <d v="2024-08-14T00:00:00"/>
    <s v="Ottawa"/>
    <n v="1.8100000000000002E-2"/>
    <n v="1"/>
    <s v="Manufacturing and warehousing"/>
    <s v="Valid"/>
    <s v="Match"/>
    <s v="Valid"/>
    <s v="Unique"/>
    <s v="Valid"/>
    <s v="Valid"/>
    <s v="Valid"/>
    <s v="Complete"/>
    <n v="4842179.1619999995"/>
    <n v="12553041.036323847"/>
    <s v="Normal"/>
    <x v="0"/>
  </r>
  <r>
    <s v="2490-MSS-161-00372"/>
    <s v="MSS"/>
    <x v="6"/>
    <x v="1"/>
    <x v="3"/>
    <n v="9439273"/>
    <n v="1.89E-2"/>
    <n v="178402.26"/>
    <s v="8566 Maple Ave"/>
    <s v="G3G 4S6"/>
    <s v="David Nguyen"/>
    <n v="9167850"/>
    <d v="2023-04-25T00:00:00"/>
    <s v="Mississauga"/>
    <n v="1.89E-2"/>
    <n v="1"/>
    <s v="Manufacturing and warehousing"/>
    <s v="Valid"/>
    <s v="Match"/>
    <s v="Valid"/>
    <s v="Unique"/>
    <s v="Valid"/>
    <s v="Valid"/>
    <s v="Valid"/>
    <s v="Complete"/>
    <n v="4842179.1619999995"/>
    <n v="12553041.036323847"/>
    <s v="Normal"/>
    <x v="0"/>
  </r>
  <r>
    <s v="2286-WDR-341-00373"/>
    <s v="WDR"/>
    <x v="8"/>
    <x v="1"/>
    <x v="1"/>
    <n v="30046366"/>
    <n v="1.8700000000000001E-2"/>
    <n v="62892.959999999999"/>
    <s v="6659 Maple Ave, Unit 1"/>
    <s v="K4T 7Y6"/>
    <s v="Mary Williams"/>
    <n v="3214521"/>
    <d v="2020-07-12T00:00:00"/>
    <s v="Windsor"/>
    <n v="1.8700000000000001E-2"/>
    <n v="1"/>
    <s v="Manufacturing and warehousing"/>
    <s v="Valid"/>
    <s v="Match"/>
    <s v="Mismatch"/>
    <s v="Unique"/>
    <s v="Valid"/>
    <s v="Valid"/>
    <s v="Valid"/>
    <s v="Complete"/>
    <n v="4842179.1619999995"/>
    <n v="12553041.036323847"/>
    <s v="Normal"/>
    <x v="1"/>
  </r>
  <r>
    <s v="2332-TOR-759-00374"/>
    <s v="TOR"/>
    <x v="1"/>
    <x v="1"/>
    <x v="0"/>
    <n v="6148320"/>
    <n v="1.8499999999999999E-2"/>
    <n v="113743.92"/>
    <s v="701 Lakeshore Rd"/>
    <s v="B1N 9M1"/>
    <s v="Thomas Developments Inc."/>
    <n v="6978867"/>
    <d v="2024-12-18T00:00:00"/>
    <s v="Toronto"/>
    <n v="1.8499999999999999E-2"/>
    <n v="1"/>
    <s v="Manufacturing and warehousing"/>
    <s v="Valid"/>
    <s v="Match"/>
    <s v="Valid"/>
    <s v="Unique"/>
    <s v="Valid"/>
    <s v="Valid"/>
    <s v="Valid"/>
    <s v="Complete"/>
    <n v="4842179.1619999995"/>
    <n v="12553041.036323847"/>
    <s v="Normal"/>
    <x v="0"/>
  </r>
  <r>
    <s v="2283-OTT-852-00375"/>
    <s v="OTT"/>
    <x v="0"/>
    <x v="2"/>
    <x v="1"/>
    <n v="1077125"/>
    <n v="9.1000000000000004E-3"/>
    <n v="9801.84"/>
    <s v="8206 King St"/>
    <s v="X4V 1K9"/>
    <s v="Olivia Anderson"/>
    <n v="1283197"/>
    <d v="2023-05-17T00:00:00"/>
    <s v="Ottawa"/>
    <n v="9.1000000000000004E-3"/>
    <n v="1"/>
    <s v="Farms and rural properties"/>
    <s v="Valid"/>
    <s v="Match"/>
    <s v="Valid"/>
    <s v="Unique"/>
    <s v="Valid"/>
    <s v="Valid"/>
    <s v="Valid"/>
    <s v="Complete"/>
    <n v="4842179.1619999995"/>
    <n v="12553041.036323847"/>
    <s v="Normal"/>
    <x v="0"/>
  </r>
  <r>
    <s v="2232-LON-319-00376"/>
    <s v="LON"/>
    <x v="4"/>
    <x v="2"/>
    <x v="1"/>
    <n v="872767"/>
    <n v="9.4000000000000004E-3"/>
    <n v="8204.01"/>
    <s v="4508 Lakeshore Rd"/>
    <s v="B7Y 5E5"/>
    <s v="Chloe Nguyen"/>
    <n v="860741"/>
    <d v="2022-02-11T00:00:00"/>
    <s v="London"/>
    <n v="9.4000000000000004E-3"/>
    <n v="1"/>
    <s v="Farms and rural properties"/>
    <s v="Valid"/>
    <s v="Match"/>
    <s v="Valid"/>
    <s v="Unique"/>
    <s v="Valid"/>
    <s v="Valid"/>
    <s v="Valid"/>
    <s v="Complete"/>
    <n v="4842179.1619999995"/>
    <n v="12553041.036323847"/>
    <s v="Normal"/>
    <x v="0"/>
  </r>
  <r>
    <s v="2449-HAM-121-00377"/>
    <s v="HAM"/>
    <x v="7"/>
    <x v="1"/>
    <x v="3"/>
    <n v="6659226"/>
    <n v="1.8800000000000001E-2"/>
    <n v="125193.45"/>
    <s v="9935 Main St"/>
    <s v="B3L 8R4"/>
    <s v="Noah Clark"/>
    <n v="7886439"/>
    <d v="2021-09-07T00:00:00"/>
    <s v="Hamilton"/>
    <n v="1.8800000000000001E-2"/>
    <n v="1"/>
    <s v="Manufacturing and warehousing"/>
    <s v="Valid"/>
    <s v="Match"/>
    <s v="Valid"/>
    <s v="Unique"/>
    <s v="Valid"/>
    <s v="Valid"/>
    <s v="Valid"/>
    <s v="Complete"/>
    <n v="4842179.1619999995"/>
    <n v="12553041.036323847"/>
    <s v="Normal"/>
    <x v="0"/>
  </r>
  <r>
    <s v="2460-OSH-361-00378"/>
    <s v="OSH"/>
    <x v="2"/>
    <x v="3"/>
    <x v="3"/>
    <n v="2207486"/>
    <n v="2.0400000000000001E-2"/>
    <n v="45032.71"/>
    <s v="4939 King St"/>
    <s v="K4J 2T5"/>
    <s v="White Investments Inc."/>
    <n v="2596580"/>
    <d v="2022-07-16T00:00:00"/>
    <s v="Oshawa"/>
    <n v="2.0400000000000001E-2"/>
    <n v="1"/>
    <s v="Business properties and retail"/>
    <s v="Valid"/>
    <s v="Match"/>
    <s v="Valid"/>
    <s v="Unique"/>
    <s v="Valid"/>
    <s v="Valid"/>
    <s v="Valid"/>
    <s v="Complete"/>
    <n v="4842179.1619999995"/>
    <n v="12553041.036323847"/>
    <s v="Normal"/>
    <x v="0"/>
  </r>
  <r>
    <s v="2452-OTT-834-00379"/>
    <s v="OTT"/>
    <x v="0"/>
    <x v="2"/>
    <x v="3"/>
    <n v="2491454"/>
    <n v="9.1000000000000004E-3"/>
    <n v="22672.23"/>
    <s v="6930 King St"/>
    <s v="L8C 5S9"/>
    <s v="Ella Wilson"/>
    <n v="2527254"/>
    <d v="2024-11-24T00:00:00"/>
    <s v="Ottawa"/>
    <n v="9.1000000000000004E-3"/>
    <n v="1"/>
    <s v="Farms and rural properties"/>
    <s v="Valid"/>
    <s v="Match"/>
    <s v="Valid"/>
    <s v="Unique"/>
    <s v="Valid"/>
    <s v="Valid"/>
    <s v="Valid"/>
    <s v="Complete"/>
    <n v="4842179.1619999995"/>
    <n v="12553041.036323847"/>
    <s v="Normal"/>
    <x v="0"/>
  </r>
  <r>
    <s v="2292-TOR-239-00380"/>
    <s v="TOR"/>
    <x v="1"/>
    <x v="0"/>
    <x v="1"/>
    <n v="873136"/>
    <n v="1.2500000000000001E-2"/>
    <n v="10914.2"/>
    <s v="60 Wellington St, Suite 11"/>
    <s v="C1H 3X2"/>
    <s v="Nguyen Investments Inc."/>
    <n v="1028052"/>
    <d v="2022-08-01T00:00:00"/>
    <s v="Toronto"/>
    <n v="1.2500000000000001E-2"/>
    <n v="1"/>
    <s v="Single-family and multi-unit homes"/>
    <s v="Valid"/>
    <s v="Match"/>
    <s v="Valid"/>
    <s v="Unique"/>
    <s v="Valid"/>
    <s v="Valid"/>
    <s v="Valid"/>
    <s v="Complete"/>
    <n v="4842179.1619999995"/>
    <n v="12553041.036323847"/>
    <s v="Normal"/>
    <x v="0"/>
  </r>
  <r>
    <s v="2297-MSS-707-00381"/>
    <s v="MSS"/>
    <x v="6"/>
    <x v="2"/>
    <x v="1"/>
    <n v="1132774"/>
    <n v="9.9000000000000008E-3"/>
    <n v="11214.46"/>
    <s v="5377 Church St, Suite 12"/>
    <s v="H6R 9K0"/>
    <s v="Clark Group Inc."/>
    <n v="1276056"/>
    <d v="2021-07-25T00:00:00"/>
    <s v="Mississauga"/>
    <n v="9.9000000000000008E-3"/>
    <n v="1"/>
    <s v="Farms and rural properties"/>
    <s v="Valid"/>
    <s v="Match"/>
    <s v="Valid"/>
    <s v="Unique"/>
    <s v="Valid"/>
    <s v="Valid"/>
    <s v="Valid"/>
    <s v="Complete"/>
    <n v="4842179.1619999995"/>
    <n v="12553041.036323847"/>
    <s v="Normal"/>
    <x v="0"/>
  </r>
  <r>
    <s v="2231-OTT-150-00382"/>
    <s v="OTT"/>
    <x v="0"/>
    <x v="2"/>
    <x v="1"/>
    <n v="1135287"/>
    <n v="9.1000000000000004E-3"/>
    <n v="10331.11"/>
    <s v="6580 Cedar Ave"/>
    <s v="L2C 5H9"/>
    <s v="Ethan Thomas"/>
    <n v="1329053"/>
    <d v="2024-02-02T00:00:00"/>
    <s v="Ottawa"/>
    <n v="9.1000000000000004E-3"/>
    <n v="1"/>
    <s v="Farms and rural properties"/>
    <s v="Valid"/>
    <s v="Match"/>
    <s v="Valid"/>
    <s v="Unique"/>
    <s v="Valid"/>
    <s v="Valid"/>
    <s v="Valid"/>
    <s v="Complete"/>
    <n v="4842179.1619999995"/>
    <n v="12553041.036323847"/>
    <s v="Normal"/>
    <x v="0"/>
  </r>
  <r>
    <s v="2234-MSS-982-00383"/>
    <s v="MSS"/>
    <x v="6"/>
    <x v="0"/>
    <x v="1"/>
    <n v="948331"/>
    <n v="1.29E-2"/>
    <n v="12233.47"/>
    <s v="4371 Church St"/>
    <s v="R2S 3J4"/>
    <s v="Daniel Thomas"/>
    <n v="913366"/>
    <d v="2020-08-20T00:00:00"/>
    <s v="Mississauga"/>
    <n v="1.29E-2"/>
    <n v="1"/>
    <s v="Single-family and multi-unit homes"/>
    <s v="Valid"/>
    <s v="Match"/>
    <s v="Valid"/>
    <s v="Unique"/>
    <s v="Valid"/>
    <s v="Valid"/>
    <s v="Valid"/>
    <s v="Complete"/>
    <n v="4842179.1619999995"/>
    <n v="12553041.036323847"/>
    <s v="Normal"/>
    <x v="0"/>
  </r>
  <r>
    <s v="2367-TOR-354-00384"/>
    <s v="TOR"/>
    <x v="1"/>
    <x v="1"/>
    <x v="0"/>
    <n v="3242370"/>
    <n v="1.6500000000000001E-2"/>
    <n v="59983.839999999997"/>
    <s v="6066 Cedar Ave"/>
    <s v="T1A 7G5"/>
    <s v="Thomas Properties Inc."/>
    <n v="3727648"/>
    <d v="2023-12-21T00:00:00"/>
    <s v="Toronto"/>
    <n v="1.8499999999999999E-2"/>
    <n v="1"/>
    <s v="Manufacturing and warehousing"/>
    <s v="Valid"/>
    <s v="Match"/>
    <s v="Valid"/>
    <s v="Unique"/>
    <s v="Valid"/>
    <s v="Valid"/>
    <s v="Valid"/>
    <s v="Complete"/>
    <n v="4842179.1619999995"/>
    <n v="12553041.036323847"/>
    <s v="Normal"/>
    <x v="0"/>
  </r>
  <r>
    <s v="2381-BRN-160-00385"/>
    <s v="BRN"/>
    <x v="3"/>
    <x v="4"/>
    <x v="0"/>
    <n v="2803216"/>
    <n v="1.49E-2"/>
    <n v="41767.919999999998"/>
    <s v="863 Victoria Rd"/>
    <s v="V5B 0L8"/>
    <s v="Fatima Thomas"/>
    <n v="3181487"/>
    <d v="2020-09-27T00:00:00"/>
    <s v="Brampton"/>
    <n v="1.49E-2"/>
    <n v="1"/>
    <s v="Apartment buildings and multi-tenant residential"/>
    <s v="Valid"/>
    <s v="Match"/>
    <s v="Valid"/>
    <s v="Unique"/>
    <s v="Valid"/>
    <s v="Valid"/>
    <s v="Valid"/>
    <s v="Complete"/>
    <n v="4842179.1619999995"/>
    <n v="12553041.036323847"/>
    <s v="Normal"/>
    <x v="0"/>
  </r>
  <r>
    <s v="2274-OSH-604-00386"/>
    <s v="OSH"/>
    <x v="2"/>
    <x v="0"/>
    <x v="1"/>
    <n v="610757"/>
    <n v="1.24E-2"/>
    <n v="7573.39"/>
    <s v="5567 Lakeshore Rd, Suite 23"/>
    <s v="X6G 4E5"/>
    <s v="Michael Martin"/>
    <n v="736016"/>
    <d v="2022-02-24T00:00:00"/>
    <s v="Oshawa"/>
    <n v="1.24E-2"/>
    <n v="1"/>
    <s v="Single-family and multi-unit homes"/>
    <s v="Valid"/>
    <s v="Match"/>
    <s v="Valid"/>
    <s v="Unique"/>
    <s v="Valid"/>
    <s v="Valid"/>
    <s v="Valid"/>
    <s v="Complete"/>
    <n v="4842179.1619999995"/>
    <n v="12553041.036323847"/>
    <s v="Normal"/>
    <x v="0"/>
  </r>
  <r>
    <s v="2343-KIN-727-00387"/>
    <s v="KIN"/>
    <x v="10"/>
    <x v="2"/>
    <x v="0"/>
    <n v="3279028"/>
    <n v="9.2999999999999992E-3"/>
    <n v="30494.959999999999"/>
    <s v="4331 Elm St"/>
    <s v="H5V 2Y7"/>
    <s v="Michael Smith"/>
    <n v="3214927"/>
    <d v="2020-03-14T00:00:00"/>
    <s v="Kingston"/>
    <n v="9.2999999999999992E-3"/>
    <n v="1"/>
    <s v="Farms and rural properties"/>
    <s v="Valid"/>
    <s v="Match"/>
    <s v="Valid"/>
    <s v="Unique"/>
    <s v="Valid"/>
    <s v="Valid"/>
    <s v="Valid"/>
    <s v="Complete"/>
    <n v="4842179.1619999995"/>
    <n v="12553041.036323847"/>
    <s v="Normal"/>
    <x v="0"/>
  </r>
  <r>
    <s v="2265-MSS-218-00388"/>
    <s v="MSS"/>
    <x v="6"/>
    <x v="1"/>
    <x v="1"/>
    <n v="6568812"/>
    <n v="1.89E-2"/>
    <n v="124150.55"/>
    <s v="8118 Main St"/>
    <s v="Y7T 7E2"/>
    <s v="David Williams"/>
    <n v="7907934"/>
    <d v="2021-01-09T00:00:00"/>
    <s v="Mississauga"/>
    <n v="1.89E-2"/>
    <n v="1"/>
    <s v="Manufacturing and warehousing"/>
    <s v="Valid"/>
    <s v="Match"/>
    <s v="Valid"/>
    <s v="Unique"/>
    <s v="Valid"/>
    <s v="Valid"/>
    <s v="Valid"/>
    <s v="Complete"/>
    <n v="4842179.1619999995"/>
    <n v="12553041.036323847"/>
    <s v="Normal"/>
    <x v="0"/>
  </r>
  <r>
    <s v="2394-HAM-699-00389"/>
    <s v="HAM"/>
    <x v="7"/>
    <x v="4"/>
    <x v="0"/>
    <n v="7788716"/>
    <n v="1.5100000000000001E-2"/>
    <n v="117609.61"/>
    <s v="3489 Cedar Ave"/>
    <s v="A8H 6C3"/>
    <s v="Sarah Clark"/>
    <n v="7905782"/>
    <d v="2021-08-05T00:00:00"/>
    <s v="Hamilton"/>
    <n v="1.5100000000000001E-2"/>
    <n v="1"/>
    <s v="Apartment buildings and multi-tenant residential"/>
    <s v="Valid"/>
    <s v="Match"/>
    <s v="Valid"/>
    <s v="Unique"/>
    <s v="Valid"/>
    <s v="Valid"/>
    <s v="Valid"/>
    <s v="Complete"/>
    <n v="4842179.1619999995"/>
    <n v="12553041.036323847"/>
    <s v="Normal"/>
    <x v="0"/>
  </r>
  <r>
    <s v="2323-OTT-957-00390"/>
    <s v="OTT"/>
    <x v="0"/>
    <x v="2"/>
    <x v="0"/>
    <n v="1993495"/>
    <n v="9.1000000000000004E-3"/>
    <n v="18140.8"/>
    <s v="5310 Queen St, Suite 27"/>
    <s v="V7L 9A5"/>
    <s v="Nguyen Group Inc."/>
    <n v="2457608"/>
    <d v="2021-10-27T00:00:00"/>
    <s v="Ottawa"/>
    <n v="9.1000000000000004E-3"/>
    <n v="1"/>
    <s v="Farms and rural properties"/>
    <s v="Valid"/>
    <s v="Match"/>
    <s v="Valid"/>
    <s v="Unique"/>
    <s v="Valid"/>
    <s v="Valid"/>
    <s v="Valid"/>
    <s v="Complete"/>
    <n v="4842179.1619999995"/>
    <n v="12553041.036323847"/>
    <s v="Normal"/>
    <x v="0"/>
  </r>
  <r>
    <s v="2292-GUE-389-00391"/>
    <s v="GUE"/>
    <x v="5"/>
    <x v="3"/>
    <x v="1"/>
    <n v="4206768"/>
    <n v="2.0500000000000001E-2"/>
    <n v="86238.74"/>
    <s v="5304 Main St"/>
    <s v="Y9R 1R4"/>
    <s v="Sophia Brown"/>
    <n v="3816292"/>
    <d v="2021-05-02T00:00:00"/>
    <s v="Guelph"/>
    <n v="2.0500000000000001E-2"/>
    <n v="1"/>
    <s v="Business properties and retail"/>
    <s v="Valid"/>
    <s v="Match"/>
    <s v="Valid"/>
    <s v="Unique"/>
    <s v="Valid"/>
    <s v="Valid"/>
    <s v="Valid"/>
    <s v="Complete"/>
    <n v="4842179.1619999995"/>
    <n v="12553041.036323847"/>
    <s v="Normal"/>
    <x v="0"/>
  </r>
  <r>
    <s v="2493-HAM-257-00392"/>
    <s v="HAM"/>
    <x v="7"/>
    <x v="2"/>
    <x v="3"/>
    <n v="1188471"/>
    <n v="9.7999999999999997E-3"/>
    <n v="11647.02"/>
    <s v="1985 Church St"/>
    <s v="S4G 5E5"/>
    <s v="Chloe Martin"/>
    <n v="1437925"/>
    <d v="2023-09-03T00:00:00"/>
    <s v="Hamilton"/>
    <n v="9.7999999999999997E-3"/>
    <n v="1"/>
    <s v="Farms and rural properties"/>
    <s v="Valid"/>
    <s v="Match"/>
    <s v="Valid"/>
    <s v="Unique"/>
    <s v="Valid"/>
    <s v="Valid"/>
    <s v="Valid"/>
    <s v="Complete"/>
    <n v="4842179.1619999995"/>
    <n v="12553041.036323847"/>
    <s v="Normal"/>
    <x v="0"/>
  </r>
  <r>
    <s v="2464-WDR-930-00393"/>
    <s v="WDR"/>
    <x v="8"/>
    <x v="4"/>
    <x v="3"/>
    <n v="3037298"/>
    <n v="1.4999999999999999E-2"/>
    <n v="45559.47"/>
    <s v="6043 Cedar Ave, Apt 14"/>
    <s v="C0X 5T3"/>
    <s v="Michael Clark"/>
    <n v="3260123"/>
    <d v="2024-07-13T00:00:00"/>
    <s v="Windsor"/>
    <n v="1.4999999999999999E-2"/>
    <n v="1"/>
    <s v="Apartment buildings and multi-tenant residential"/>
    <s v="Valid"/>
    <s v="Match"/>
    <s v="Valid"/>
    <s v="Unique"/>
    <s v="Valid"/>
    <s v="Valid"/>
    <s v="Valid"/>
    <s v="Complete"/>
    <n v="4842179.1619999995"/>
    <n v="12553041.036323847"/>
    <s v="Normal"/>
    <x v="0"/>
  </r>
  <r>
    <s v="2320-OSH-920-00394"/>
    <s v="OSH"/>
    <x v="2"/>
    <x v="0"/>
    <x v="0"/>
    <n v="748324"/>
    <n v="1.24E-2"/>
    <n v="9279.2199999999993"/>
    <s v="7835 Church St, Unit 22"/>
    <s v="M3X 6M9"/>
    <s v="David Clark"/>
    <n v="685303"/>
    <d v="2020-08-08T00:00:00"/>
    <s v="Oshawa"/>
    <n v="1.24E-2"/>
    <n v="1"/>
    <s v="Single-family and multi-unit homes"/>
    <s v="Valid"/>
    <s v="Match"/>
    <s v="Valid"/>
    <s v="Unique"/>
    <s v="Valid"/>
    <s v="Valid"/>
    <s v="Valid"/>
    <s v="Complete"/>
    <n v="4842179.1619999995"/>
    <n v="12553041.036323847"/>
    <s v="Normal"/>
    <x v="0"/>
  </r>
  <r>
    <s v="2494-OSH-837-00395"/>
    <s v="OSH"/>
    <x v="2"/>
    <x v="2"/>
    <x v="3"/>
    <n v="740618"/>
    <n v="9.4000000000000004E-3"/>
    <n v="6961.81"/>
    <s v="9323 Church St"/>
    <s v="C8A 1T2"/>
    <s v="Jackson Investments Inc."/>
    <n v="678288"/>
    <d v="2023-05-03T00:00:00"/>
    <s v="Oshawa"/>
    <n v="9.4000000000000004E-3"/>
    <n v="1"/>
    <s v="Farms and rural properties"/>
    <s v="Valid"/>
    <s v="Match"/>
    <s v="Valid"/>
    <s v="Unique"/>
    <s v="Valid"/>
    <s v="Valid"/>
    <s v="Valid"/>
    <s v="Complete"/>
    <n v="4842179.1619999995"/>
    <n v="12553041.036323847"/>
    <s v="Normal"/>
    <x v="0"/>
  </r>
  <r>
    <s v="2467-WDR-738-00396"/>
    <s v="WDR"/>
    <x v="8"/>
    <x v="1"/>
    <x v="3"/>
    <n v="7066216"/>
    <n v="1.8700000000000001E-2"/>
    <n v="132138.23999999999"/>
    <s v="4352 Victoria Rd"/>
    <s v="H3H 1L1"/>
    <s v="John Smith"/>
    <n v="7336335"/>
    <d v="2021-01-28T00:00:00"/>
    <s v="Windsor"/>
    <n v="1.8700000000000001E-2"/>
    <n v="1"/>
    <s v="Manufacturing and warehousing"/>
    <s v="Valid"/>
    <s v="Match"/>
    <s v="Valid"/>
    <s v="Unique"/>
    <s v="Valid"/>
    <s v="Valid"/>
    <s v="Valid"/>
    <s v="Complete"/>
    <n v="4842179.1619999995"/>
    <n v="12553041.036323847"/>
    <s v="Normal"/>
    <x v="0"/>
  </r>
  <r>
    <s v="2494-HAM-862-00397"/>
    <s v="HAM"/>
    <x v="7"/>
    <x v="2"/>
    <x v="3"/>
    <n v="2325958"/>
    <n v="9.7999999999999997E-3"/>
    <n v="22794.39"/>
    <s v="9871 Lakeshore Rd"/>
    <s v="P6M 1G2"/>
    <s v="Sarah Jackson"/>
    <n v="2106294"/>
    <d v="2022-01-21T00:00:00"/>
    <s v="Hamilton"/>
    <n v="9.7999999999999997E-3"/>
    <n v="1"/>
    <s v="Farms and rural properties"/>
    <s v="Valid"/>
    <s v="Match"/>
    <s v="Valid"/>
    <s v="Unique"/>
    <s v="Valid"/>
    <s v="Valid"/>
    <s v="Valid"/>
    <s v="Complete"/>
    <n v="4842179.1619999995"/>
    <n v="12553041.036323847"/>
    <s v="Normal"/>
    <x v="0"/>
  </r>
  <r>
    <s v="2493-TOR-347-00398"/>
    <s v="TOR"/>
    <x v="1"/>
    <x v="3"/>
    <x v="3"/>
    <n v="3125216"/>
    <n v="2.0500000000000001E-2"/>
    <n v="64066.93"/>
    <s v="7149 Park Ave"/>
    <s v="Y3C 4T2"/>
    <s v="John Brown"/>
    <n v="2994385"/>
    <d v="2021-11-09T00:00:00"/>
    <s v="Toronto"/>
    <n v="2.0500000000000001E-2"/>
    <n v="1"/>
    <s v="Business properties and retail"/>
    <s v="Valid"/>
    <s v="Match"/>
    <s v="Valid"/>
    <s v="Unique"/>
    <s v="Valid"/>
    <s v="Valid"/>
    <s v="Valid"/>
    <s v="Complete"/>
    <n v="4842179.1619999995"/>
    <n v="12553041.036323847"/>
    <s v="Normal"/>
    <x v="0"/>
  </r>
  <r>
    <s v="2467-MSS-699-00399"/>
    <s v="MSS"/>
    <x v="6"/>
    <x v="2"/>
    <x v="3"/>
    <n v="435519"/>
    <n v="9.9000000000000008E-3"/>
    <n v="4311.6400000000003"/>
    <s v="3985 Maple Ave"/>
    <s v="R0N 0E6"/>
    <s v="Jackson Investments Inc."/>
    <n v="504321"/>
    <d v="2024-05-05T00:00:00"/>
    <s v="Mississauga"/>
    <n v="9.9000000000000008E-3"/>
    <n v="1"/>
    <s v="Farms and rural properties"/>
    <s v="Valid"/>
    <s v="Match"/>
    <s v="Valid"/>
    <s v="Unique"/>
    <s v="Valid"/>
    <s v="Valid"/>
    <s v="Valid"/>
    <s v="Complete"/>
    <n v="4842179.1619999995"/>
    <n v="12553041.036323847"/>
    <s v="Normal"/>
    <x v="0"/>
  </r>
  <r>
    <s v="2172-OSH-625-00400"/>
    <s v="OSH"/>
    <x v="2"/>
    <x v="1"/>
    <x v="2"/>
    <n v="4829620"/>
    <n v="1.84E-2"/>
    <n v="88865.01"/>
    <s v="9693 Cedar Ave"/>
    <s v="V3B 8A6"/>
    <s v="Ella Brown"/>
    <n v="4799421"/>
    <d v="2023-09-05T00:00:00"/>
    <s v="Oshawa"/>
    <n v="1.84E-2"/>
    <n v="1"/>
    <s v="Manufacturing and warehousing"/>
    <s v="Valid"/>
    <s v="Match"/>
    <s v="Valid"/>
    <s v="Unique"/>
    <s v="Valid"/>
    <s v="Valid"/>
    <s v="Valid"/>
    <s v="Complete"/>
    <n v="4842179.1619999995"/>
    <n v="12553041.036323847"/>
    <s v="Normal"/>
    <x v="0"/>
  </r>
  <r>
    <s v="2492-MSS-455-00401"/>
    <s v="MSS"/>
    <x v="6"/>
    <x v="0"/>
    <x v="3"/>
    <n v="866845"/>
    <n v="1.29E-2"/>
    <n v="11182.3"/>
    <s v="7355 Wellington St, Suite 24"/>
    <s v="J7P 7K8"/>
    <s v="Olivia Clark"/>
    <n v="962835"/>
    <d v="2025-01-04T00:00:00"/>
    <s v="Mississauga"/>
    <n v="1.29E-2"/>
    <n v="1"/>
    <s v="Single-family and multi-unit homes"/>
    <s v="Valid"/>
    <s v="Match"/>
    <s v="Valid"/>
    <s v="Unique"/>
    <s v="Valid"/>
    <s v="Valid"/>
    <s v="Valid"/>
    <s v="Complete"/>
    <n v="4842179.1619999995"/>
    <n v="12553041.036323847"/>
    <s v="Normal"/>
    <x v="0"/>
  </r>
  <r>
    <s v="2359-MSS-526-00402"/>
    <s v="MSS"/>
    <x v="6"/>
    <x v="3"/>
    <x v="0"/>
    <n v="3447519"/>
    <n v="2.0899999999999998E-2"/>
    <n v="72053.149999999994"/>
    <s v="5912 Lakeshore Rd"/>
    <s v="H9J 4C7"/>
    <s v="Daniel Johnson"/>
    <n v="3833683"/>
    <d v="2020-07-25T00:00:00"/>
    <s v="Mississauga"/>
    <n v="2.0899999999999998E-2"/>
    <n v="1"/>
    <s v="Business properties and retail"/>
    <s v="Valid"/>
    <s v="Match"/>
    <s v="Valid"/>
    <s v="Unique"/>
    <s v="Valid"/>
    <s v="Valid"/>
    <s v="Valid"/>
    <s v="Complete"/>
    <n v="4842179.1619999995"/>
    <n v="12553041.036323847"/>
    <s v="Normal"/>
    <x v="0"/>
  </r>
  <r>
    <s v="2381-BRN-148-00403"/>
    <s v="BRN"/>
    <x v="3"/>
    <x v="2"/>
    <x v="0"/>
    <n v="15704596"/>
    <n v="9.5999999999999992E-3"/>
    <n v="10311.969999999999"/>
    <s v="307 Victoria Rd"/>
    <s v="P2H 8B1"/>
    <s v="Sarah Patel"/>
    <n v="1051973"/>
    <d v="2023-02-24T00:00:00"/>
    <s v="Brampton"/>
    <n v="9.5999999999999992E-3"/>
    <n v="1"/>
    <s v="Farms and rural properties"/>
    <s v="Valid"/>
    <s v="Match"/>
    <s v="Mismatch"/>
    <s v="Unique"/>
    <s v="Valid"/>
    <s v="Valid"/>
    <s v="Valid"/>
    <s v="Complete"/>
    <n v="4842179.1619999995"/>
    <n v="12553041.036323847"/>
    <s v="Normal"/>
    <x v="1"/>
  </r>
  <r>
    <s v="2355-LON-887-00404"/>
    <s v="LON"/>
    <x v="4"/>
    <x v="2"/>
    <x v="0"/>
    <n v="4188252"/>
    <n v="9.4000000000000004E-3"/>
    <n v="39369.57"/>
    <s v="774 Elm St"/>
    <s v="G8E 0T7"/>
    <s v="White Holdings Inc."/>
    <n v="5198169"/>
    <d v="2024-05-19T00:00:00"/>
    <s v="London"/>
    <n v="9.4000000000000004E-3"/>
    <n v="1"/>
    <s v="Farms and rural properties"/>
    <s v="Valid"/>
    <s v="Match"/>
    <s v="Valid"/>
    <s v="Unique"/>
    <s v="Valid"/>
    <s v="Valid"/>
    <s v="Valid"/>
    <s v="Complete"/>
    <n v="4842179.1619999995"/>
    <n v="12553041.036323847"/>
    <s v="Normal"/>
    <x v="0"/>
  </r>
  <r>
    <s v="2115-GUE-619-00405"/>
    <s v="GUE"/>
    <x v="5"/>
    <x v="4"/>
    <x v="2"/>
    <n v="11510678"/>
    <n v="1.4800000000000001E-2"/>
    <n v="170358.03"/>
    <s v="1737 Queen St"/>
    <s v="J5H 4T8"/>
    <s v="Sarah Johnson"/>
    <n v="12966578"/>
    <d v="2022-10-02T00:00:00"/>
    <s v="Guelph"/>
    <n v="1.4800000000000001E-2"/>
    <n v="1"/>
    <s v="Apartment buildings and multi-tenant residential"/>
    <s v="Valid"/>
    <s v="Match"/>
    <s v="Valid"/>
    <s v="Unique"/>
    <s v="Valid"/>
    <s v="Valid"/>
    <s v="Valid"/>
    <s v="Complete"/>
    <n v="4842179.1619999995"/>
    <n v="12553041.036323847"/>
    <s v="Normal"/>
    <x v="0"/>
  </r>
  <r>
    <s v="2263-HAM-887-00406"/>
    <s v="HAM"/>
    <x v="7"/>
    <x v="0"/>
    <x v="1"/>
    <n v="728024"/>
    <n v="1.2800000000000001E-2"/>
    <n v="9318.7099999999991"/>
    <s v="117 Maple Ave"/>
    <s v="V5M 8H1"/>
    <s v="Liam Anderson"/>
    <n v="815608"/>
    <d v="2021-10-02T00:00:00"/>
    <s v="Hamilton"/>
    <n v="1.2800000000000001E-2"/>
    <n v="1"/>
    <s v="Single-family and multi-unit homes"/>
    <s v="Valid"/>
    <s v="Match"/>
    <s v="Valid"/>
    <s v="Unique"/>
    <s v="Valid"/>
    <s v="Valid"/>
    <s v="Valid"/>
    <s v="Complete"/>
    <n v="4842179.1619999995"/>
    <n v="12553041.036323847"/>
    <s v="Normal"/>
    <x v="0"/>
  </r>
  <r>
    <s v="2427-HAM-921-00407"/>
    <s v="HAM"/>
    <x v="7"/>
    <x v="4"/>
    <x v="3"/>
    <n v="10872580"/>
    <n v="1.5100000000000001E-2"/>
    <n v="164175.96"/>
    <s v="7035 Wellington St"/>
    <s v="T8P 0T2"/>
    <s v="Ethan Brown"/>
    <n v="10107937"/>
    <d v="2022-10-07T00:00:00"/>
    <s v="Hamilton"/>
    <n v="1.5100000000000001E-2"/>
    <n v="1"/>
    <s v="Apartment buildings and multi-tenant residential"/>
    <s v="Valid"/>
    <s v="Match"/>
    <s v="Valid"/>
    <s v="Unique"/>
    <s v="Valid"/>
    <s v="Valid"/>
    <s v="Valid"/>
    <s v="Complete"/>
    <n v="4842179.1619999995"/>
    <n v="12553041.036323847"/>
    <s v="Normal"/>
    <x v="0"/>
  </r>
  <r>
    <s v="2414-BRN-776-00408"/>
    <s v="BRN"/>
    <x v="3"/>
    <x v="3"/>
    <x v="3"/>
    <n v="1094199"/>
    <n v="2.06E-2"/>
    <n v="22540.5"/>
    <s v="2483 Cedar Ave, Apt 23"/>
    <s v="X4S 6Y4"/>
    <s v="Olivia Clark"/>
    <n v="1116581"/>
    <d v="2022-07-27T00:00:00"/>
    <s v="Brampton"/>
    <n v="2.06E-2"/>
    <n v="1"/>
    <s v="Business properties and retail"/>
    <s v="Valid"/>
    <s v="Match"/>
    <s v="Valid"/>
    <s v="Unique"/>
    <s v="Valid"/>
    <s v="Valid"/>
    <s v="Valid"/>
    <s v="Complete"/>
    <n v="4842179.1619999995"/>
    <n v="12553041.036323847"/>
    <s v="Normal"/>
    <x v="0"/>
  </r>
  <r>
    <s v="2267-OSH-759-00409"/>
    <s v="OSH"/>
    <x v="2"/>
    <x v="4"/>
    <x v="1"/>
    <n v="9541185"/>
    <n v="1.47E-2"/>
    <n v="140255.42000000001"/>
    <s v="3370 Elm St"/>
    <s v="T5R 3M1"/>
    <s v="Olivia Thomas"/>
    <n v="11008472"/>
    <d v="2020-05-31T00:00:00"/>
    <s v="Oshawa"/>
    <n v="1.47E-2"/>
    <n v="1"/>
    <s v="Apartment buildings and multi-tenant residential"/>
    <s v="Valid"/>
    <s v="Match"/>
    <s v="Valid"/>
    <s v="Unique"/>
    <s v="Valid"/>
    <s v="Valid"/>
    <s v="Valid"/>
    <s v="Complete"/>
    <n v="4842179.1619999995"/>
    <n v="12553041.036323847"/>
    <s v="Normal"/>
    <x v="0"/>
  </r>
  <r>
    <s v="2375-OSH-665-00410"/>
    <s v="OSH"/>
    <x v="2"/>
    <x v="4"/>
    <x v="0"/>
    <n v="4299160"/>
    <n v="1.47E-2"/>
    <n v="63197.65"/>
    <s v="5125 Elm St"/>
    <s v="H0A 8L3"/>
    <s v="Taylor Investments Inc."/>
    <n v="5354321"/>
    <d v="2020-08-14T00:00:00"/>
    <s v="Oshawa"/>
    <n v="1.47E-2"/>
    <n v="1"/>
    <s v="Apartment buildings and multi-tenant residential"/>
    <s v="Valid"/>
    <s v="Match"/>
    <s v="Valid"/>
    <s v="Unique"/>
    <s v="Valid"/>
    <s v="Valid"/>
    <s v="Valid"/>
    <s v="Complete"/>
    <n v="4842179.1619999995"/>
    <n v="12553041.036323847"/>
    <s v="Normal"/>
    <x v="0"/>
  </r>
  <r>
    <s v="2355-TOR-226-00411"/>
    <s v="TOR"/>
    <x v="1"/>
    <x v="1"/>
    <x v="0"/>
    <n v="5882778"/>
    <n v="1.8499999999999999E-2"/>
    <n v="108831.39"/>
    <s v="792 Park Ave"/>
    <s v="T4A 7N3"/>
    <s v=""/>
    <n v="6765939"/>
    <d v="2023-07-09T00:00:00"/>
    <s v="Toronto"/>
    <n v="1.8499999999999999E-2"/>
    <n v="1"/>
    <s v="Manufacturing and warehousing"/>
    <s v="Valid"/>
    <s v="Match"/>
    <s v="Valid"/>
    <s v="Unique"/>
    <s v="Valid"/>
    <s v="Valid"/>
    <s v="Valid"/>
    <s v="Complete"/>
    <n v="4842179.1619999995"/>
    <n v="12553041.036323847"/>
    <s v="Normal"/>
    <x v="0"/>
  </r>
  <r>
    <s v="2246-OSH-782-00412"/>
    <s v="ZZZ"/>
    <x v="1"/>
    <x v="4"/>
    <x v="1"/>
    <n v="5546064"/>
    <n v="1.47E-2"/>
    <n v="81527.14"/>
    <s v="9394 Park Ave, Suite 17"/>
    <s v="K1N 8J5"/>
    <s v="Michael Wilson"/>
    <n v="5817778"/>
    <d v="2023-08-15T00:00:00"/>
    <m/>
    <m/>
    <n v="1"/>
    <s v="Apartment buildings and multi-tenant residential"/>
    <s v="Invalid"/>
    <s v="Mismatch"/>
    <s v="Mismatch"/>
    <s v="Unique"/>
    <s v="Valid"/>
    <s v="Valid"/>
    <s v="Valid"/>
    <s v="Complete"/>
    <n v="4842179.1619999995"/>
    <n v="12553041.036323847"/>
    <s v="Normal"/>
    <x v="1"/>
  </r>
  <r>
    <s v="2126-OTT-587-00413"/>
    <s v="OTT"/>
    <x v="0"/>
    <x v="0"/>
    <x v="2"/>
    <n v="718298"/>
    <n v="1.21E-2"/>
    <n v="8691.41"/>
    <s v="3529 Lakeshore Rd, Apt 17"/>
    <s v="R9Y 8R4"/>
    <s v="Liam Martin"/>
    <n v="819690"/>
    <d v="2024-06-28T00:00:00"/>
    <s v="Ottawa"/>
    <n v="1.21E-2"/>
    <n v="1"/>
    <s v="Single-family and multi-unit homes"/>
    <s v="Valid"/>
    <s v="Match"/>
    <s v="Valid"/>
    <s v="Unique"/>
    <s v="Valid"/>
    <s v="Valid"/>
    <s v="Valid"/>
    <s v="Complete"/>
    <n v="4842179.1619999995"/>
    <n v="12553041.036323847"/>
    <s v="Normal"/>
    <x v="0"/>
  </r>
  <r>
    <s v="2272-BRN-828-00414"/>
    <s v="BRN"/>
    <x v="3"/>
    <x v="3"/>
    <x v="1"/>
    <n v="2590614"/>
    <n v="2.06E-2"/>
    <n v="53366.65"/>
    <s v="7509 Queen St"/>
    <s v="X8E 3T7"/>
    <s v="Aisha Lee"/>
    <n v="2666431"/>
    <d v="2020-05-01T00:00:00"/>
    <s v="Brampton"/>
    <n v="2.06E-2"/>
    <n v="1"/>
    <s v="Business properties and retail"/>
    <s v="Valid"/>
    <s v="Match"/>
    <s v="Valid"/>
    <s v="Unique"/>
    <s v="Valid"/>
    <s v="Valid"/>
    <s v="Valid"/>
    <s v="Complete"/>
    <n v="4842179.1619999995"/>
    <n v="12553041.036323847"/>
    <s v="Normal"/>
    <x v="0"/>
  </r>
  <r>
    <s v="2183-GUE-396-00415"/>
    <s v="GUE"/>
    <x v="5"/>
    <x v="2"/>
    <x v="2"/>
    <n v="814074"/>
    <n v="9.4999999999999998E-3"/>
    <n v="7733.7"/>
    <s v="669 Elm St, Suite 10"/>
    <s v="P4M 7A2"/>
    <s v="Liam Smith"/>
    <n v="999591"/>
    <d v="2022-06-03T00:00:00"/>
    <s v="Guelph"/>
    <n v="9.4999999999999998E-3"/>
    <n v="1"/>
    <s v="Farms and rural properties"/>
    <s v="Valid"/>
    <s v="Match"/>
    <s v="Valid"/>
    <s v="Unique"/>
    <s v="Valid"/>
    <s v="Valid"/>
    <s v="Valid"/>
    <s v="Complete"/>
    <n v="4842179.1619999995"/>
    <n v="12553041.036323847"/>
    <s v="Normal"/>
    <x v="0"/>
  </r>
  <r>
    <s v="2272-WDR-102-00416"/>
    <s v="WDR"/>
    <x v="8"/>
    <x v="3"/>
    <x v="1"/>
    <n v="3937434"/>
    <n v="2.07E-2"/>
    <n v="81504.88"/>
    <s v="2014 Elm St"/>
    <s v="B6V 9M9"/>
    <s v="Olivia White"/>
    <n v="4063656"/>
    <d v="2020-06-27T00:00:00"/>
    <s v="Windsor"/>
    <n v="2.07E-2"/>
    <n v="1"/>
    <s v="Business properties and retail"/>
    <s v="Valid"/>
    <s v="Match"/>
    <s v="Valid"/>
    <s v="Unique"/>
    <s v="Valid"/>
    <s v="Valid"/>
    <s v="Valid"/>
    <s v="Complete"/>
    <n v="4842179.1619999995"/>
    <n v="12553041.036323847"/>
    <s v="Normal"/>
    <x v="0"/>
  </r>
  <r>
    <s v="2495-HAM-559-00417"/>
    <s v="HAM"/>
    <x v="7"/>
    <x v="4"/>
    <x v="3"/>
    <n v="10457003"/>
    <n v="1.5100000000000001E-2"/>
    <n v="157900.75"/>
    <s v="2450 Victoria Rd, Apt 22"/>
    <s v="S6K 6N8"/>
    <s v="Emma Wilson"/>
    <n v="10426482"/>
    <d v="2021-07-01T00:00:00"/>
    <s v="Hamilton"/>
    <n v="1.5100000000000001E-2"/>
    <n v="1"/>
    <s v="Apartment buildings and multi-tenant residential"/>
    <s v="Valid"/>
    <s v="Match"/>
    <s v="Valid"/>
    <s v="Unique"/>
    <s v="Valid"/>
    <s v="Valid"/>
    <s v="Valid"/>
    <s v="Complete"/>
    <n v="4842179.1619999995"/>
    <n v="12553041.036323847"/>
    <s v="Normal"/>
    <x v="0"/>
  </r>
  <r>
    <s v="2325-HAM-759-00418"/>
    <s v="HAM"/>
    <x v="7"/>
    <x v="0"/>
    <x v="0"/>
    <n v="817072"/>
    <n v="1.2800000000000001E-2"/>
    <n v="10458.52"/>
    <s v="9174 King St, Apt 18"/>
    <s v="B9X 3V8"/>
    <s v="Brown Group Inc."/>
    <n v="786767"/>
    <d v="2020-02-08T00:00:00"/>
    <s v="Hamilton"/>
    <n v="1.2800000000000001E-2"/>
    <n v="1"/>
    <s v="Single-family and multi-unit homes"/>
    <s v="Valid"/>
    <s v="Match"/>
    <s v="Valid"/>
    <s v="Unique"/>
    <s v="Valid"/>
    <s v="Valid"/>
    <s v="Valid"/>
    <s v="Complete"/>
    <n v="4842179.1619999995"/>
    <n v="12553041.036323847"/>
    <s v="Normal"/>
    <x v="0"/>
  </r>
  <r>
    <s v="2284-WDR-554-00419"/>
    <s v="WDR"/>
    <x v="8"/>
    <x v="3"/>
    <x v="1"/>
    <n v="3998581"/>
    <n v="2.07E-2"/>
    <n v="82770.63"/>
    <s v="1396 Elm St"/>
    <s v="R9B 7A5"/>
    <s v="Liam Smith"/>
    <n v="4801804"/>
    <d v="2022-07-23T00:00:00"/>
    <s v="Windsor"/>
    <n v="2.07E-2"/>
    <n v="1"/>
    <s v="Business properties and retail"/>
    <s v="Valid"/>
    <s v="Match"/>
    <s v="Valid"/>
    <s v="Unique"/>
    <s v="Valid"/>
    <s v="Valid"/>
    <s v="Valid"/>
    <s v="Complete"/>
    <n v="4842179.1619999995"/>
    <n v="12553041.036323847"/>
    <s v="Normal"/>
    <x v="0"/>
  </r>
  <r>
    <s v="2122-BRN-654-00420"/>
    <s v="BRN"/>
    <x v="3"/>
    <x v="1"/>
    <x v="2"/>
    <n v="2443385"/>
    <n v="1.8599999999999998E-2"/>
    <n v="45446.96"/>
    <s v="2765 Church St, Suite 25"/>
    <s v="C2M 6H0"/>
    <s v="Olivia Johnson"/>
    <n v="2222283"/>
    <d v="2019-08-28T00:00:00"/>
    <s v="Brampton"/>
    <n v="1.8599999999999998E-2"/>
    <n v="1"/>
    <s v="Manufacturing and warehousing"/>
    <s v="Valid"/>
    <s v="Match"/>
    <s v="Valid"/>
    <s v="Unique"/>
    <s v="Valid"/>
    <s v="Valid"/>
    <s v="Valid"/>
    <s v="Complete"/>
    <n v="4842179.1619999995"/>
    <n v="12553041.036323847"/>
    <s v="Normal"/>
    <x v="0"/>
  </r>
  <r>
    <s v="2162-WDR-431-00421"/>
    <s v="WDR"/>
    <x v="8"/>
    <x v="2"/>
    <x v="2"/>
    <n v="1270783"/>
    <n v="9.7000000000000003E-3"/>
    <n v="12326.6"/>
    <s v="4235 Wellington St"/>
    <s v="E0J 3K7"/>
    <s v="Ethan Thomas"/>
    <n v="1565954"/>
    <d v="2022-01-08T00:00:00"/>
    <s v="Windsor"/>
    <n v="9.7000000000000003E-3"/>
    <n v="1"/>
    <s v="Farms and rural properties"/>
    <s v="Valid"/>
    <s v="Match"/>
    <s v="Valid"/>
    <s v="Unique"/>
    <s v="Valid"/>
    <s v="Valid"/>
    <s v="Valid"/>
    <s v="Complete"/>
    <n v="4842179.1619999995"/>
    <n v="12553041.036323847"/>
    <s v="Normal"/>
    <x v="0"/>
  </r>
  <r>
    <s v="2418-TOR-595-00422"/>
    <s v="TOR"/>
    <x v="1"/>
    <x v="1"/>
    <x v="3"/>
    <n v="5304412"/>
    <n v="1.8499999999999999E-2"/>
    <n v="98131.62"/>
    <s v="483 Wellington St"/>
    <s v="A4Y 9E3"/>
    <s v="Michael Taylor"/>
    <n v="5828944"/>
    <d v="2023-07-03T00:00:00"/>
    <s v="Toronto"/>
    <n v="1.8499999999999999E-2"/>
    <n v="1"/>
    <s v="Manufacturing and warehousing"/>
    <s v="Valid"/>
    <s v="Match"/>
    <s v="Valid"/>
    <s v="Unique"/>
    <s v="Valid"/>
    <s v="Valid"/>
    <s v="Valid"/>
    <s v="Complete"/>
    <n v="4842179.1619999995"/>
    <n v="12553041.036323847"/>
    <s v="Normal"/>
    <x v="0"/>
  </r>
  <r>
    <s v="2228-OTT-482-00423"/>
    <s v="OTT"/>
    <x v="0"/>
    <x v="4"/>
    <x v="1"/>
    <n v="10800358"/>
    <n v="1.44E-2"/>
    <n v="155525.16"/>
    <s v="8864 Queen St"/>
    <s v="Y6Y 7B0"/>
    <s v="Jackson Group Inc."/>
    <n v="10813721"/>
    <d v="2020-11-16T00:00:00"/>
    <s v="Ottawa"/>
    <n v="1.44E-2"/>
    <n v="1"/>
    <s v="Apartment buildings and multi-tenant residential"/>
    <s v="Valid"/>
    <s v="Match"/>
    <s v="Valid"/>
    <s v="Unique"/>
    <s v="Valid"/>
    <s v="Valid"/>
    <s v="Valid"/>
    <s v="Complete"/>
    <n v="4842179.1619999995"/>
    <n v="12553041.036323847"/>
    <s v="Normal"/>
    <x v="0"/>
  </r>
  <r>
    <s v="2442-TOR-959-00424"/>
    <s v="TOR"/>
    <x v="1"/>
    <x v="0"/>
    <x v="3"/>
    <n v="619664"/>
    <n v="1.2500000000000001E-2"/>
    <n v="7745.8"/>
    <s v="6238 Victoria Rd"/>
    <s v="J9X 4B2"/>
    <s v="David Taylor"/>
    <n v="577155"/>
    <d v="2024-12-01T00:00:00"/>
    <s v="Toronto"/>
    <n v="1.2500000000000001E-2"/>
    <n v="1"/>
    <s v="Single-family and multi-unit homes"/>
    <s v="Valid"/>
    <s v="Match"/>
    <s v="Valid"/>
    <s v="Unique"/>
    <s v="Valid"/>
    <s v="Valid"/>
    <s v="Valid"/>
    <s v="Complete"/>
    <n v="4842179.1619999995"/>
    <n v="12553041.036323847"/>
    <s v="Normal"/>
    <x v="0"/>
  </r>
  <r>
    <s v="2336-OTT-725-00425"/>
    <s v="OTT"/>
    <x v="0"/>
    <x v="3"/>
    <x v="0"/>
    <n v="4307998"/>
    <n v="2.01E-2"/>
    <n v="86590.76"/>
    <s v="8280 Victoria Rd"/>
    <s v="N4T 4K5"/>
    <s v="Emma Patel"/>
    <n v="4372446"/>
    <d v="2025-02-14T00:00:00"/>
    <s v="Ottawa"/>
    <n v="2.01E-2"/>
    <n v="1"/>
    <s v="Business properties and retail"/>
    <s v="Valid"/>
    <s v="Match"/>
    <s v="Valid"/>
    <s v="Unique"/>
    <s v="Valid"/>
    <s v="Valid"/>
    <s v="Valid"/>
    <s v="Complete"/>
    <n v="4842179.1619999995"/>
    <n v="12553041.036323847"/>
    <s v="Normal"/>
    <x v="0"/>
  </r>
  <r>
    <s v="2411-HAM-788-00426"/>
    <s v="HAM"/>
    <x v="7"/>
    <x v="0"/>
    <x v="3"/>
    <n v="296256"/>
    <n v="1.2800000000000001E-2"/>
    <n v="3792.08"/>
    <s v="2853 Wellington St"/>
    <s v="V6Y 1C8"/>
    <s v="Emma Nguyen"/>
    <n v="279427"/>
    <d v="2023-02-10T00:00:00"/>
    <s v="Hamilton"/>
    <n v="1.2800000000000001E-2"/>
    <n v="1"/>
    <s v="Single-family and multi-unit homes"/>
    <s v="Valid"/>
    <s v="Match"/>
    <s v="Valid"/>
    <s v="Unique"/>
    <s v="Valid"/>
    <s v="Valid"/>
    <s v="Valid"/>
    <s v="Complete"/>
    <n v="4842179.1619999995"/>
    <n v="12553041.036323847"/>
    <s v="Normal"/>
    <x v="0"/>
  </r>
  <r>
    <s v="2499-GUE-108-00427"/>
    <s v="GUE"/>
    <x v="5"/>
    <x v="1"/>
    <x v="3"/>
    <n v="2891683"/>
    <n v="1.8499999999999999E-2"/>
    <n v="53496.14"/>
    <s v="2054 Lakeshore Rd"/>
    <s v="J7A 3A4"/>
    <s v="Noah Williams"/>
    <n v="2693569"/>
    <d v="2024-06-10T00:00:00"/>
    <s v="Guelph"/>
    <n v="1.8499999999999999E-2"/>
    <n v="1"/>
    <s v="Manufacturing and warehousing"/>
    <s v="Valid"/>
    <s v="Match"/>
    <s v="Valid"/>
    <s v="Unique"/>
    <s v="Valid"/>
    <s v="Valid"/>
    <s v="Valid"/>
    <s v="Complete"/>
    <n v="4842179.1619999995"/>
    <n v="12553041.036323847"/>
    <s v="Normal"/>
    <x v="0"/>
  </r>
  <r>
    <s v="2256-WDR-137-00428"/>
    <s v="WDR"/>
    <x v="8"/>
    <x v="3"/>
    <x v="1"/>
    <n v="5316188"/>
    <n v="1.8700000000000001E-2"/>
    <n v="110045.09"/>
    <s v="4609 Lakeshore Rd"/>
    <s v="J0J 6E4"/>
    <s v="Chloe Johnson"/>
    <n v="5811257"/>
    <d v="2020-12-19T00:00:00"/>
    <s v="Windsor"/>
    <n v="2.07E-2"/>
    <n v="1"/>
    <s v="Business properties and retail"/>
    <s v="Valid"/>
    <s v="Match"/>
    <s v="Valid"/>
    <s v="Unique"/>
    <s v="Valid"/>
    <s v="Valid"/>
    <s v="Valid"/>
    <s v="Complete"/>
    <n v="4842179.1619999995"/>
    <n v="12553041.036323847"/>
    <s v="Normal"/>
    <x v="0"/>
  </r>
  <r>
    <s v="2226-OTT-365-00429"/>
    <s v="OTT"/>
    <x v="0"/>
    <x v="4"/>
    <x v="1"/>
    <n v="185450623"/>
    <n v="1.44E-2"/>
    <n v="2670488.9700000002"/>
    <s v="9347 Maple Ave"/>
    <s v="L3A 8L8"/>
    <s v="Smith Investments Inc."/>
    <n v="11482221"/>
    <d v="2019-08-01T00:00:00"/>
    <s v="Ottawa"/>
    <n v="1.44E-2"/>
    <n v="1"/>
    <s v="Apartment buildings and multi-tenant residential"/>
    <s v="Valid"/>
    <s v="Match"/>
    <s v="Valid"/>
    <s v="Unique"/>
    <s v="Valid"/>
    <s v="Valid"/>
    <s v="Valid"/>
    <s v="Complete"/>
    <n v="4842179.1619999995"/>
    <n v="12553041.036323847"/>
    <s v="Outlier"/>
    <x v="1"/>
  </r>
  <r>
    <s v="2497-KIN-630-00430"/>
    <s v="KIN"/>
    <x v="10"/>
    <x v="2"/>
    <x v="3"/>
    <n v="1163326"/>
    <n v="9.2999999999999992E-3"/>
    <n v="10818.93"/>
    <s v="7654 Lakeshore Rd"/>
    <s v="B3B 4S8"/>
    <s v="John Thomas"/>
    <n v="1126231"/>
    <d v="2021-06-17T00:00:00"/>
    <s v="Kingston"/>
    <n v="9.2999999999999992E-3"/>
    <n v="1"/>
    <s v="Farms and rural properties"/>
    <s v="Valid"/>
    <s v="Match"/>
    <s v="Valid"/>
    <s v="Unique"/>
    <s v="Valid"/>
    <s v="Valid"/>
    <s v="Valid"/>
    <s v="Complete"/>
    <n v="4842179.1619999995"/>
    <n v="12553041.036323847"/>
    <s v="Normal"/>
    <x v="0"/>
  </r>
  <r>
    <s v="2264-GUE-176-00431"/>
    <s v="GUE"/>
    <x v="9"/>
    <x v="0"/>
    <x v="1"/>
    <n v="1347444"/>
    <n v="1.2500000000000001E-2"/>
    <n v="16843.05"/>
    <s v="4105 Maple Ave, Suite 3"/>
    <s v="E0V 6A9"/>
    <s v="Clark Developments Inc."/>
    <n v="1609088"/>
    <d v="2021-10-09T00:00:00"/>
    <s v="Guelph"/>
    <n v="1.2500000000000001E-2"/>
    <n v="1"/>
    <s v="Single-family and multi-unit homes"/>
    <s v="Valid"/>
    <s v="Mismatch"/>
    <s v="Valid"/>
    <s v="Unique"/>
    <s v="Valid"/>
    <s v="Valid"/>
    <s v="Valid"/>
    <s v="Complete"/>
    <n v="4842179.1619999995"/>
    <n v="12553041.036323847"/>
    <s v="Normal"/>
    <x v="1"/>
  </r>
  <r>
    <s v="2166-OTT-156-00433"/>
    <s v="X99"/>
    <x v="0"/>
    <x v="3"/>
    <x v="2"/>
    <n v="4620726"/>
    <n v="2.01E-2"/>
    <n v="92876.59"/>
    <s v="4949 Cedar Ave"/>
    <s v="C1B 8B4"/>
    <s v="Thomas Holdings Inc."/>
    <n v="5156988"/>
    <d v="2023-08-11T00:00:00"/>
    <m/>
    <m/>
    <n v="1"/>
    <s v="Business properties and retail"/>
    <s v="Invalid"/>
    <s v="Mismatch"/>
    <s v="Mismatch"/>
    <s v="Unique"/>
    <s v="Valid"/>
    <s v="Valid"/>
    <s v="Valid"/>
    <s v="Complete"/>
    <n v="4842179.1619999995"/>
    <n v="12553041.036323847"/>
    <s v="Normal"/>
    <x v="1"/>
  </r>
  <r>
    <s v="2169-LON-914-00434"/>
    <s v="T0R"/>
    <x v="0"/>
    <x v="4"/>
    <x v="2"/>
    <n v="6576664"/>
    <n v="1.47E-2"/>
    <n v="96676.96"/>
    <s v="7024 Cedar Ave"/>
    <s v="N0T 8N9"/>
    <s v="Sarah Smith"/>
    <n v="7288991"/>
    <d v="2019-10-04T00:00:00"/>
    <m/>
    <m/>
    <n v="1"/>
    <s v="Apartment buildings and multi-tenant residential"/>
    <s v="Invalid"/>
    <s v="Mismatch"/>
    <s v="Mismatch"/>
    <s v="Unique"/>
    <s v="Valid"/>
    <s v="Valid"/>
    <s v="Valid"/>
    <s v="Complete"/>
    <n v="4842179.1619999995"/>
    <n v="12553041.036323847"/>
    <s v="Normal"/>
    <x v="1"/>
  </r>
  <r>
    <s v="2242-GUE-463-00435"/>
    <s v="GUE"/>
    <x v="5"/>
    <x v="3"/>
    <x v="1"/>
    <n v="3079520"/>
    <n v="2.0500000000000001E-2"/>
    <n v="63130.16"/>
    <s v="6907 Lakeshore Rd"/>
    <s v="T2K 2B0"/>
    <s v="Liam Lee"/>
    <n v="3806008"/>
    <d v="2023-01-05T00:00:00"/>
    <s v="Guelph"/>
    <n v="2.0500000000000001E-2"/>
    <n v="1"/>
    <s v="Business properties and retail"/>
    <s v="Valid"/>
    <s v="Match"/>
    <s v="Valid"/>
    <s v="Unique"/>
    <s v="Valid"/>
    <s v="Valid"/>
    <s v="Valid"/>
    <s v="Complete"/>
    <n v="4842179.1619999995"/>
    <n v="12553041.036323847"/>
    <s v="Normal"/>
    <x v="0"/>
  </r>
  <r>
    <s v="2249-WDR-717-00436"/>
    <s v="WDR"/>
    <x v="8"/>
    <x v="4"/>
    <x v="1"/>
    <n v="3687577"/>
    <n v="1.4999999999999999E-2"/>
    <n v="55313.65"/>
    <s v="5628 Church St"/>
    <s v="A8G 0K8"/>
    <s v="Lee Holdings Inc."/>
    <n v="3863553"/>
    <d v="2021-03-11T00:00:00"/>
    <s v="Windsor"/>
    <n v="1.4999999999999999E-2"/>
    <n v="1"/>
    <s v="Apartment buildings and multi-tenant residential"/>
    <s v="Valid"/>
    <s v="Match"/>
    <s v="Valid"/>
    <s v="Unique"/>
    <s v="Valid"/>
    <s v="Valid"/>
    <s v="Valid"/>
    <s v="Complete"/>
    <n v="4842179.1619999995"/>
    <n v="12553041.036323847"/>
    <s v="Normal"/>
    <x v="0"/>
  </r>
  <r>
    <s v="2195-LON-587-00437"/>
    <s v="T0R"/>
    <x v="1"/>
    <x v="3"/>
    <x v="2"/>
    <n v="2064686"/>
    <n v="2.0400000000000001E-2"/>
    <n v="42119.59"/>
    <s v="7667 Cedar Ave"/>
    <s v="N9M 6N2"/>
    <s v="Mary Martin"/>
    <n v="2016769"/>
    <d v="2019-01-16T00:00:00"/>
    <m/>
    <m/>
    <n v="1"/>
    <s v="Business properties and retail"/>
    <s v="Invalid"/>
    <s v="Mismatch"/>
    <s v="Mismatch"/>
    <s v="Unique"/>
    <s v="Valid"/>
    <s v="Valid"/>
    <s v="Valid"/>
    <s v="Complete"/>
    <n v="4842179.1619999995"/>
    <n v="12553041.036323847"/>
    <s v="Normal"/>
    <x v="1"/>
  </r>
  <r>
    <s v="2440-LON-592-00438"/>
    <s v="LON"/>
    <x v="4"/>
    <x v="3"/>
    <x v="3"/>
    <n v="3025878"/>
    <n v="2.0400000000000001E-2"/>
    <n v="61727.91"/>
    <s v="5441 Wellington St, Unit 27"/>
    <s v="A5A 1P0"/>
    <s v="Michael Taylor"/>
    <n v="3189708"/>
    <d v="2024-07-16T00:00:00"/>
    <s v="London"/>
    <n v="2.0400000000000001E-2"/>
    <n v="1"/>
    <s v="Business properties and retail"/>
    <s v="Valid"/>
    <s v="Match"/>
    <s v="Valid"/>
    <s v="Unique"/>
    <s v="Valid"/>
    <s v="Valid"/>
    <s v="Valid"/>
    <s v="Complete"/>
    <n v="4842179.1619999995"/>
    <n v="12553041.036323847"/>
    <s v="Normal"/>
    <x v="0"/>
  </r>
  <r>
    <s v="2135-GUE-302-00439"/>
    <s v="GUE"/>
    <x v="5"/>
    <x v="1"/>
    <x v="2"/>
    <n v="10426160"/>
    <n v="1.8499999999999999E-2"/>
    <n v="192883.96"/>
    <s v="4664 Queen St, Suite 24"/>
    <s v="H5Y 3H3"/>
    <s v="James Clark"/>
    <n v="9752803"/>
    <d v="2020-07-16T00:00:00"/>
    <s v="Guelph"/>
    <n v="1.8499999999999999E-2"/>
    <n v="1"/>
    <s v="Manufacturing and warehousing"/>
    <s v="Valid"/>
    <s v="Match"/>
    <s v="Valid"/>
    <s v="Unique"/>
    <s v="Valid"/>
    <s v="Valid"/>
    <s v="Valid"/>
    <s v="Complete"/>
    <n v="4842179.1619999995"/>
    <n v="12553041.036323847"/>
    <s v="Normal"/>
    <x v="0"/>
  </r>
  <r>
    <s v="2349-BRN-567-00440"/>
    <s v="BRN"/>
    <x v="3"/>
    <x v="0"/>
    <x v="0"/>
    <n v="1239464"/>
    <n v="1.26E-2"/>
    <n v="15617.25"/>
    <s v="3944 Victoria Rd"/>
    <s v="H8S 1E2"/>
    <s v="Johnson Properties Inc."/>
    <n v="1198671"/>
    <d v="2022-02-13T00:00:00"/>
    <s v="Brampton"/>
    <n v="1.26E-2"/>
    <n v="1"/>
    <s v="Single-family and multi-unit homes"/>
    <s v="Valid"/>
    <s v="Match"/>
    <s v="Valid"/>
    <s v="Unique"/>
    <s v="Valid"/>
    <s v="Valid"/>
    <s v="Valid"/>
    <s v="Complete"/>
    <n v="4842179.1619999995"/>
    <n v="12553041.036323847"/>
    <s v="Normal"/>
    <x v="0"/>
  </r>
  <r>
    <s v="2441-KIN-147-00441"/>
    <s v="KIN"/>
    <x v="10"/>
    <x v="1"/>
    <x v="3"/>
    <n v="10480391"/>
    <n v="1.83E-2"/>
    <n v="191791.16"/>
    <s v="9632 Maple Ave"/>
    <s v="M2N 3B4"/>
    <s v="Jackson Group Inc."/>
    <n v="12984518"/>
    <d v="2027-09-13T00:00:00"/>
    <s v="Kingston"/>
    <n v="1.83E-2"/>
    <n v="1"/>
    <s v="Manufacturing and warehousing"/>
    <s v="Valid"/>
    <s v="Match"/>
    <s v="Valid"/>
    <s v="Unique"/>
    <s v="Valid"/>
    <s v="Valid"/>
    <s v="Invalid"/>
    <s v="Complete"/>
    <n v="4842179.1619999995"/>
    <n v="12553041.036323847"/>
    <s v="Normal"/>
    <x v="1"/>
  </r>
  <r>
    <s v="2488-LON-166-00442"/>
    <s v="LON"/>
    <x v="4"/>
    <x v="0"/>
    <x v="3"/>
    <n v="1028762"/>
    <n v="1.24E-2"/>
    <n v="12756.65"/>
    <s v="2753 Elm St"/>
    <s v="123456"/>
    <s v="Noah Lee"/>
    <n v="1175956"/>
    <d v="2025-01-05T00:00:00"/>
    <s v="London"/>
    <n v="1.24E-2"/>
    <n v="1"/>
    <s v="Single-family and multi-unit homes"/>
    <s v="Valid"/>
    <s v="Match"/>
    <s v="Valid"/>
    <s v="Unique"/>
    <s v="Invalid"/>
    <s v="Valid"/>
    <s v="Valid"/>
    <s v="Complete"/>
    <n v="4842179.1619999995"/>
    <n v="12553041.036323847"/>
    <s v="Normal"/>
    <x v="1"/>
  </r>
  <r>
    <s v="2391-MSS-909-00443"/>
    <s v="MSS"/>
    <x v="6"/>
    <x v="2"/>
    <x v="0"/>
    <n v="1965652"/>
    <n v="9.9000000000000008E-3"/>
    <n v="19459.95"/>
    <s v="9577 Park Ave, Unit 29"/>
    <s v="J7K 6J4"/>
    <s v="Sophia Patel"/>
    <n v="1877243"/>
    <d v="2024-09-21T00:00:00"/>
    <s v="Mississauga"/>
    <n v="9.9000000000000008E-3"/>
    <n v="1"/>
    <s v="Farms and rural properties"/>
    <s v="Valid"/>
    <s v="Match"/>
    <s v="Valid"/>
    <s v="Unique"/>
    <s v="Valid"/>
    <s v="Valid"/>
    <s v="Valid"/>
    <s v="Complete"/>
    <n v="4842179.1619999995"/>
    <n v="12553041.036323847"/>
    <s v="Normal"/>
    <x v="0"/>
  </r>
  <r>
    <s v="2120-KIN-402-00444"/>
    <s v="KIN"/>
    <x v="10"/>
    <x v="1"/>
    <x v="2"/>
    <n v="2595382"/>
    <n v="1.83E-2"/>
    <n v="47495.49"/>
    <s v="7292 Elm St"/>
    <s v="B7X 9N6"/>
    <s v="Liam Thomas"/>
    <n v="2669686"/>
    <d v="2027-03-24T00:00:00"/>
    <s v="Kingston"/>
    <n v="1.83E-2"/>
    <n v="1"/>
    <s v="Manufacturing and warehousing"/>
    <s v="Valid"/>
    <s v="Match"/>
    <s v="Valid"/>
    <s v="Unique"/>
    <s v="Valid"/>
    <s v="Valid"/>
    <s v="Invalid"/>
    <s v="Complete"/>
    <n v="4842179.1619999995"/>
    <n v="12553041.036323847"/>
    <s v="Normal"/>
    <x v="1"/>
  </r>
  <r>
    <s v="2466-KIN-339-00445"/>
    <s v="KIN"/>
    <x v="10"/>
    <x v="1"/>
    <x v="3"/>
    <n v="1455948"/>
    <n v="1.83E-2"/>
    <n v="26643.85"/>
    <s v="4361 Park Ave, Unit 10"/>
    <s v="X8Y 1L3"/>
    <s v="David Anderson"/>
    <n v="1329861"/>
    <d v="2022-02-15T00:00:00"/>
    <s v="Kingston"/>
    <n v="1.83E-2"/>
    <n v="1"/>
    <s v="Manufacturing and warehousing"/>
    <s v="Valid"/>
    <s v="Match"/>
    <s v="Valid"/>
    <s v="Unique"/>
    <s v="Valid"/>
    <s v="Valid"/>
    <s v="Valid"/>
    <s v="Complete"/>
    <n v="4842179.1619999995"/>
    <n v="12553041.036323847"/>
    <s v="Normal"/>
    <x v="0"/>
  </r>
  <r>
    <s v="2397-KIN-965-00446"/>
    <s v="KIN"/>
    <x v="10"/>
    <x v="3"/>
    <x v="0"/>
    <n v="1800066"/>
    <n v="2.0299999999999999E-2"/>
    <n v="36541.339999999997"/>
    <s v="4506 Maple Ave"/>
    <s v="G8L 0M4"/>
    <s v="White Investments Inc."/>
    <n v="2215945"/>
    <d v="2024-08-10T00:00:00"/>
    <s v="Kingston"/>
    <n v="2.0299999999999999E-2"/>
    <n v="1"/>
    <s v="Business properties and retail"/>
    <s v="Valid"/>
    <s v="Match"/>
    <s v="Valid"/>
    <s v="Unique"/>
    <s v="Valid"/>
    <s v="Valid"/>
    <s v="Valid"/>
    <s v="Complete"/>
    <n v="4842179.1619999995"/>
    <n v="12553041.036323847"/>
    <s v="Normal"/>
    <x v="0"/>
  </r>
  <r>
    <s v="2429-GUE-986-00447"/>
    <s v="GUE"/>
    <x v="5"/>
    <x v="0"/>
    <x v="3"/>
    <n v="893759"/>
    <n v="1.2500000000000001E-2"/>
    <n v="11171.99"/>
    <s v="6522 Maple Ave, Apt 7"/>
    <s v="V3X 9Y7"/>
    <s v="Emma Anderson"/>
    <n v="1052106"/>
    <d v="2022-10-04T00:00:00"/>
    <s v="Guelph"/>
    <n v="1.2500000000000001E-2"/>
    <n v="1"/>
    <s v="Single-family and multi-unit homes"/>
    <s v="Valid"/>
    <s v="Match"/>
    <s v="Valid"/>
    <s v="Unique"/>
    <s v="Valid"/>
    <s v="Valid"/>
    <s v="Valid"/>
    <s v="Complete"/>
    <n v="4842179.1619999995"/>
    <n v="12553041.036323847"/>
    <s v="Normal"/>
    <x v="0"/>
  </r>
  <r>
    <s v="2467-LON-973-00448"/>
    <s v="LON"/>
    <x v="4"/>
    <x v="2"/>
    <x v="3"/>
    <n v="1018361"/>
    <n v="9.4000000000000004E-3"/>
    <n v="9572.59"/>
    <s v="9159 Main St"/>
    <s v="G4A 7P5"/>
    <s v="Liam Nguyen"/>
    <n v="1184781"/>
    <d v="2024-11-15T00:00:00"/>
    <s v="London"/>
    <n v="9.4000000000000004E-3"/>
    <n v="1"/>
    <s v="Farms and rural properties"/>
    <s v="Valid"/>
    <s v="Match"/>
    <s v="Valid"/>
    <s v="Unique"/>
    <s v="Valid"/>
    <s v="Valid"/>
    <s v="Valid"/>
    <s v="Complete"/>
    <n v="4842179.1619999995"/>
    <n v="12553041.036323847"/>
    <s v="Normal"/>
    <x v="0"/>
  </r>
  <r>
    <s v="2382-OSH-904-00449"/>
    <s v="X99"/>
    <x v="1"/>
    <x v="1"/>
    <x v="0"/>
    <n v="5562868"/>
    <n v="1.84E-2"/>
    <n v="102356.77"/>
    <s v="537 Queen St, Suite 19"/>
    <s v="R6J 6C8"/>
    <s v="Chloe Brown"/>
    <n v="5646837"/>
    <d v="2022-07-13T00:00:00"/>
    <m/>
    <m/>
    <n v="1"/>
    <s v="Manufacturing and warehousing"/>
    <s v="Invalid"/>
    <s v="Mismatch"/>
    <s v="Mismatch"/>
    <s v="Unique"/>
    <s v="Valid"/>
    <s v="Valid"/>
    <s v="Valid"/>
    <s v="Complete"/>
    <n v="4842179.1619999995"/>
    <n v="12553041.036323847"/>
    <s v="Normal"/>
    <x v="1"/>
  </r>
  <r>
    <s v="2280-WDR-281-00450"/>
    <s v="WDR"/>
    <x v="8"/>
    <x v="0"/>
    <x v="1"/>
    <n v="478378"/>
    <n v="1.2699999999999999E-2"/>
    <n v="6075.4"/>
    <s v="535 Cedar Ave"/>
    <s v="H3C 6M3"/>
    <s v="Ethan Brown"/>
    <n v="506666"/>
    <d v="2023-02-18T00:00:00"/>
    <s v="Windsor"/>
    <n v="1.2699999999999999E-2"/>
    <n v="1"/>
    <s v="Single-family and multi-unit homes"/>
    <s v="Valid"/>
    <s v="Match"/>
    <s v="Valid"/>
    <s v="Unique"/>
    <s v="Valid"/>
    <s v="Valid"/>
    <s v="Valid"/>
    <s v="Complete"/>
    <n v="4842179.1619999995"/>
    <n v="12553041.036323847"/>
    <s v="Normal"/>
    <x v="0"/>
  </r>
  <r>
    <s v="2262-OSH-500-00451"/>
    <s v="OSH"/>
    <x v="2"/>
    <x v="0"/>
    <x v="1"/>
    <n v="654243"/>
    <n v="1.24E-2"/>
    <n v="8112.61"/>
    <s v="2582 King St, Suite 16"/>
    <s v="C6J 2J4"/>
    <s v="Chloe Johnson"/>
    <n v="727059"/>
    <d v="2022-06-25T00:00:00"/>
    <s v="Oshawa"/>
    <n v="1.24E-2"/>
    <n v="1"/>
    <s v="Single-family and multi-unit homes"/>
    <s v="Valid"/>
    <s v="Match"/>
    <s v="Valid"/>
    <s v="Unique"/>
    <s v="Valid"/>
    <s v="Valid"/>
    <s v="Valid"/>
    <s v="Complete"/>
    <n v="4842179.1619999995"/>
    <n v="12553041.036323847"/>
    <s v="Normal"/>
    <x v="0"/>
  </r>
  <r>
    <s v="2410-GUE-246-00452"/>
    <s v="GUE"/>
    <x v="5"/>
    <x v="3"/>
    <x v="3"/>
    <n v="1871849"/>
    <n v="2.0500000000000001E-2"/>
    <n v="38372.9"/>
    <s v="7312 King St"/>
    <s v="K8N 9V7"/>
    <s v="Mary Wilson"/>
    <n v="1744350"/>
    <d v="2024-08-16T00:00:00"/>
    <s v="Guelph"/>
    <n v="2.0500000000000001E-2"/>
    <n v="1"/>
    <s v="Business properties and retail"/>
    <s v="Valid"/>
    <s v="Match"/>
    <s v="Valid"/>
    <s v="Unique"/>
    <s v="Valid"/>
    <s v="Valid"/>
    <s v="Valid"/>
    <s v="Complete"/>
    <n v="4842179.1619999995"/>
    <n v="12553041.036323847"/>
    <s v="Normal"/>
    <x v="0"/>
  </r>
  <r>
    <s v="2332-MSS-525-00453"/>
    <s v="MSS"/>
    <x v="6"/>
    <x v="1"/>
    <x v="0"/>
    <n v="4184259"/>
    <n v="1.89E-2"/>
    <n v="79082.5"/>
    <s v="4091 Queen St"/>
    <s v="S7R 2E6"/>
    <s v="Mary Williams"/>
    <n v="5062701"/>
    <d v="2020-11-19T00:00:00"/>
    <s v="Mississauga"/>
    <n v="1.89E-2"/>
    <n v="1"/>
    <s v="Manufacturing and warehousing"/>
    <s v="Valid"/>
    <s v="Match"/>
    <s v="Valid"/>
    <s v="Unique"/>
    <s v="Valid"/>
    <s v="Valid"/>
    <s v="Valid"/>
    <s v="Complete"/>
    <n v="4842179.1619999995"/>
    <n v="12553041.036323847"/>
    <s v="Normal"/>
    <x v="0"/>
  </r>
  <r>
    <s v="2318-WDR-814-00454"/>
    <s v="WDR"/>
    <x v="8"/>
    <x v="4"/>
    <x v="0"/>
    <n v="9079108"/>
    <n v="1.4999999999999999E-2"/>
    <n v="136186.62"/>
    <s v="3569 Lakeshore Rd"/>
    <s v="Y1P 1E8"/>
    <s v="Olivia Thomas"/>
    <n v="9604131"/>
    <d v="2021-06-01T00:00:00"/>
    <s v="Windsor"/>
    <n v="1.4999999999999999E-2"/>
    <n v="1"/>
    <s v="Apartment buildings and multi-tenant residential"/>
    <s v="Valid"/>
    <s v="Match"/>
    <s v="Valid"/>
    <s v="Unique"/>
    <s v="Valid"/>
    <s v="Valid"/>
    <s v="Valid"/>
    <s v="Complete"/>
    <n v="4842179.1619999995"/>
    <n v="12553041.036323847"/>
    <s v="Normal"/>
    <x v="0"/>
  </r>
  <r>
    <s v="2119-LON-754-00455"/>
    <s v="LON"/>
    <x v="4"/>
    <x v="4"/>
    <x v="2"/>
    <n v="6668533"/>
    <n v="1.47E-2"/>
    <n v="98027.44"/>
    <s v="7577 Wellington St"/>
    <s v="R3R 0A4"/>
    <s v="Michael Anderson"/>
    <n v="7566141"/>
    <d v="2024-03-16T00:00:00"/>
    <s v="London"/>
    <n v="1.47E-2"/>
    <n v="1"/>
    <s v="Apartment buildings and multi-tenant residential"/>
    <s v="Valid"/>
    <s v="Match"/>
    <s v="Valid"/>
    <s v="Unique"/>
    <s v="Valid"/>
    <s v="Valid"/>
    <s v="Valid"/>
    <s v="Complete"/>
    <n v="4842179.1619999995"/>
    <n v="12553041.036323847"/>
    <s v="Normal"/>
    <x v="0"/>
  </r>
  <r>
    <s v="2194-MSS-348-00456"/>
    <s v="MSS"/>
    <x v="6"/>
    <x v="2"/>
    <x v="2"/>
    <n v="704013"/>
    <n v="1.24E-2"/>
    <n v="6969.73"/>
    <s v="7181 Queen St"/>
    <s v="L2H 0E2"/>
    <s v="Ella Wilson"/>
    <n v="729919"/>
    <d v="2019-11-14T00:00:00"/>
    <s v="Mississauga"/>
    <n v="9.9000000000000008E-3"/>
    <n v="1"/>
    <s v="Farms and rural properties"/>
    <s v="Valid"/>
    <s v="Match"/>
    <s v="Valid"/>
    <s v="Unique"/>
    <s v="Valid"/>
    <s v="Valid"/>
    <s v="Valid"/>
    <s v="Complete"/>
    <n v="4842179.1619999995"/>
    <n v="12553041.036323847"/>
    <s v="Normal"/>
    <x v="0"/>
  </r>
  <r>
    <s v="2232-TOR-321-00457"/>
    <s v="TOR"/>
    <x v="1"/>
    <x v="1"/>
    <x v="1"/>
    <n v="4509126"/>
    <n v="1.8499999999999999E-2"/>
    <n v="83418.83"/>
    <s v="574 Park Ave"/>
    <s v="T0X 1R4"/>
    <s v="John Smith"/>
    <n v="5277226"/>
    <d v="2021-04-06T00:00:00"/>
    <s v="Toronto"/>
    <n v="1.8499999999999999E-2"/>
    <n v="1"/>
    <s v="Manufacturing and warehousing"/>
    <s v="Valid"/>
    <s v="Match"/>
    <s v="Valid"/>
    <s v="Unique"/>
    <s v="Valid"/>
    <s v="Valid"/>
    <s v="Valid"/>
    <s v="Complete"/>
    <n v="4842179.1619999995"/>
    <n v="12553041.036323847"/>
    <s v="Normal"/>
    <x v="0"/>
  </r>
  <r>
    <s v="2212-LON-531-00458"/>
    <s v="LON"/>
    <x v="4"/>
    <x v="1"/>
    <x v="1"/>
    <n v="3034661"/>
    <n v="1.84E-2"/>
    <n v="55837.760000000002"/>
    <s v="467 Main St"/>
    <s v="J1K 1H2"/>
    <s v="Ethan Brown"/>
    <n v="3597495"/>
    <d v="2022-08-14T00:00:00"/>
    <s v="London"/>
    <n v="1.84E-2"/>
    <n v="1"/>
    <s v="Manufacturing and warehousing"/>
    <s v="Valid"/>
    <s v="Match"/>
    <s v="Valid"/>
    <s v="Unique"/>
    <s v="Valid"/>
    <s v="Valid"/>
    <s v="Valid"/>
    <s v="Complete"/>
    <n v="4842179.1619999995"/>
    <n v="12553041.036323847"/>
    <s v="Normal"/>
    <x v="0"/>
  </r>
  <r>
    <s v="2260-OSH-538-00459"/>
    <s v="OSH"/>
    <x v="2"/>
    <x v="5"/>
    <x v="1"/>
    <n v="4757172"/>
    <n v="2.0400000000000001E-2"/>
    <n v="97046.31"/>
    <s v="1989 Maple Ave, Suite 11"/>
    <s v="H0R 5A6"/>
    <s v="Grace Brown"/>
    <n v="5376968"/>
    <d v="2022-02-14T00:00:00"/>
    <s v="Oshawa"/>
    <m/>
    <n v="1"/>
    <m/>
    <s v="Valid"/>
    <s v="Match"/>
    <s v="Mismatch"/>
    <s v="Unique"/>
    <s v="Valid"/>
    <s v="Invalid"/>
    <s v="Valid"/>
    <s v="Complete"/>
    <n v="4842179.1619999995"/>
    <n v="12553041.036323847"/>
    <s v="Normal"/>
    <x v="1"/>
  </r>
  <r>
    <s v="2137-GUE-520-00460"/>
    <s v="GUE"/>
    <x v="5"/>
    <x v="1"/>
    <x v="2"/>
    <n v="2012692"/>
    <n v="1.8499999999999999E-2"/>
    <n v="37234.800000000003"/>
    <s v="4950 Cedar Ave"/>
    <s v="E8H 4E9"/>
    <s v="Sophia Nguyen"/>
    <n v="2462717"/>
    <d v="2020-06-28T00:00:00"/>
    <s v="Guelph"/>
    <n v="1.8499999999999999E-2"/>
    <n v="1"/>
    <s v="Manufacturing and warehousing"/>
    <s v="Valid"/>
    <s v="Match"/>
    <s v="Valid"/>
    <s v="Unique"/>
    <s v="Valid"/>
    <s v="Valid"/>
    <s v="Valid"/>
    <s v="Complete"/>
    <n v="4842179.1619999995"/>
    <n v="12553041.036323847"/>
    <s v="Normal"/>
    <x v="0"/>
  </r>
  <r>
    <s v="2395-KIN-593-00461"/>
    <s v="KIN"/>
    <x v="10"/>
    <x v="3"/>
    <x v="0"/>
    <n v="5281019"/>
    <n v="2.0299999999999999E-2"/>
    <n v="107204.69"/>
    <s v="1116 Victoria Rd, Apt 15"/>
    <s v="R8K 8A3"/>
    <s v="Sarah Taylor"/>
    <n v="5189862"/>
    <d v="2022-05-27T00:00:00"/>
    <s v="Kingston"/>
    <n v="2.0299999999999999E-2"/>
    <n v="1"/>
    <s v="Business properties and retail"/>
    <s v="Valid"/>
    <s v="Match"/>
    <s v="Valid"/>
    <s v="Unique"/>
    <s v="Valid"/>
    <s v="Valid"/>
    <s v="Valid"/>
    <s v="Complete"/>
    <n v="4842179.1619999995"/>
    <n v="12553041.036323847"/>
    <s v="Normal"/>
    <x v="0"/>
  </r>
  <r>
    <s v="2157-LON-610-00462"/>
    <s v="LON"/>
    <x v="4"/>
    <x v="4"/>
    <x v="2"/>
    <n v="2604820"/>
    <n v="1.47E-2"/>
    <n v="38290.85"/>
    <s v="4869 Maple Ave, Unit 21"/>
    <s v="B3T 5G4"/>
    <s v="Mary Lee"/>
    <n v="3066193"/>
    <d v="2023-08-27T00:00:00"/>
    <s v="London"/>
    <n v="1.47E-2"/>
    <n v="1"/>
    <s v="Apartment buildings and multi-tenant residential"/>
    <s v="Valid"/>
    <s v="Match"/>
    <s v="Valid"/>
    <s v="Unique"/>
    <s v="Valid"/>
    <s v="Valid"/>
    <s v="Valid"/>
    <s v="Complete"/>
    <n v="4842179.1619999995"/>
    <n v="12553041.036323847"/>
    <s v="Normal"/>
    <x v="0"/>
  </r>
  <r>
    <s v="2252-WDR-450-00463"/>
    <s v="WDR"/>
    <x v="8"/>
    <x v="0"/>
    <x v="1"/>
    <n v="1096724"/>
    <n v="1.2699999999999999E-2"/>
    <n v="13928.39"/>
    <s v="3979 Maple Ave"/>
    <s v="K3R 8N2"/>
    <s v="John Brown"/>
    <n v="1320953"/>
    <d v="2019-10-14T00:00:00"/>
    <s v="Windsor"/>
    <n v="1.2699999999999999E-2"/>
    <n v="1"/>
    <s v="Single-family and multi-unit homes"/>
    <s v="Valid"/>
    <s v="Match"/>
    <s v="Valid"/>
    <s v="Unique"/>
    <s v="Valid"/>
    <s v="Valid"/>
    <s v="Valid"/>
    <s v="Complete"/>
    <n v="4842179.1619999995"/>
    <n v="12553041.036323847"/>
    <s v="Normal"/>
    <x v="0"/>
  </r>
  <r>
    <s v="2226-LON-193-00464"/>
    <s v="LON"/>
    <x v="4"/>
    <x v="0"/>
    <x v="1"/>
    <n v="1243908"/>
    <n v="1.24E-2"/>
    <n v="15574.46"/>
    <s v="2855 Cedar Ave"/>
    <s v="J3X 1S7"/>
    <s v="Daniel Williams"/>
    <n v="1304120"/>
    <d v="2021-10-16T00:00:00"/>
    <s v="London"/>
    <n v="1.24E-2"/>
    <n v="1"/>
    <s v="Single-family and multi-unit homes"/>
    <s v="Valid"/>
    <s v="Match"/>
    <s v="Mismatch"/>
    <s v="Unique"/>
    <s v="Valid"/>
    <s v="Valid"/>
    <s v="Valid"/>
    <s v="Complete"/>
    <n v="4842179.1619999995"/>
    <n v="12553041.036323847"/>
    <s v="Normal"/>
    <x v="1"/>
  </r>
  <r>
    <s v="2435-WDR-378-00465"/>
    <s v="WDR"/>
    <x v="8"/>
    <x v="1"/>
    <x v="3"/>
    <n v="10200626"/>
    <n v="1.8700000000000001E-2"/>
    <n v="190651.71"/>
    <s v="7893 King St"/>
    <s v="P6R 2V7"/>
    <s v="Liam White"/>
    <n v="9737084"/>
    <d v="2023-09-15T00:00:00"/>
    <s v="Windsor"/>
    <n v="1.8700000000000001E-2"/>
    <n v="1"/>
    <s v="Manufacturing and warehousing"/>
    <s v="Valid"/>
    <s v="Match"/>
    <s v="Mismatch"/>
    <s v="Unique"/>
    <s v="Valid"/>
    <s v="Valid"/>
    <s v="Valid"/>
    <s v="Complete"/>
    <n v="4842179.1619999995"/>
    <n v="12553041.036323847"/>
    <s v="Normal"/>
    <x v="1"/>
  </r>
  <r>
    <s v="2448-TOR-709-00466"/>
    <s v="TOR"/>
    <x v="1"/>
    <x v="2"/>
    <x v="3"/>
    <n v="3003869"/>
    <n v="9.4999999999999998E-3"/>
    <n v="28536.76"/>
    <s v="8811 Queen St"/>
    <s v="H4R 7M7"/>
    <s v="Ella Patel"/>
    <n v="3209020"/>
    <d v="2022-11-14T00:00:00"/>
    <s v="Toronto"/>
    <n v="9.4999999999999998E-3"/>
    <n v="1"/>
    <s v="Farms and rural properties"/>
    <s v="Valid"/>
    <s v="Match"/>
    <s v="Valid"/>
    <s v="Unique"/>
    <s v="Valid"/>
    <s v="Valid"/>
    <s v="Valid"/>
    <s v="Complete"/>
    <n v="4842179.1619999995"/>
    <n v="12553041.036323847"/>
    <s v="Normal"/>
    <x v="0"/>
  </r>
  <r>
    <s v="2234-HAM-104-00467"/>
    <s v="HAM"/>
    <x v="7"/>
    <x v="2"/>
    <x v="1"/>
    <n v="897409"/>
    <n v="9.7999999999999997E-3"/>
    <n v="8794.61"/>
    <s v="220 Elm St"/>
    <s v="P7R 6R5"/>
    <s v="Fatima Nguyen"/>
    <n v="1117842"/>
    <d v="2019-10-19T00:00:00"/>
    <s v="Hamilton"/>
    <n v="9.7999999999999997E-3"/>
    <n v="1"/>
    <s v="Farms and rural properties"/>
    <s v="Valid"/>
    <s v="Match"/>
    <s v="Valid"/>
    <s v="Unique"/>
    <s v="Valid"/>
    <s v="Valid"/>
    <s v="Valid"/>
    <s v="Complete"/>
    <n v="4842179.1619999995"/>
    <n v="12553041.036323847"/>
    <s v="Normal"/>
    <x v="0"/>
  </r>
  <r>
    <s v="2182-BRN-266-00468"/>
    <s v="BRN"/>
    <x v="3"/>
    <x v="0"/>
    <x v="2"/>
    <n v="691531"/>
    <n v="1.26E-2"/>
    <n v="8713.2900000000009"/>
    <s v="3192 Wellington St"/>
    <s v="P8V 5B6"/>
    <s v="Wilson Properties Inc."/>
    <n v="681036"/>
    <d v="2019-05-22T00:00:00"/>
    <s v="Brampton"/>
    <n v="1.26E-2"/>
    <n v="1"/>
    <s v="Single-family and multi-unit homes"/>
    <s v="Valid"/>
    <s v="Match"/>
    <s v="Valid"/>
    <s v="Unique"/>
    <s v="Valid"/>
    <s v="Valid"/>
    <s v="Valid"/>
    <s v="Complete"/>
    <n v="4842179.1619999995"/>
    <n v="12553041.036323847"/>
    <s v="Normal"/>
    <x v="0"/>
  </r>
  <r>
    <s v="2268-KIN-797-00469"/>
    <s v="KIN"/>
    <x v="10"/>
    <x v="0"/>
    <x v="1"/>
    <n v="611477"/>
    <n v="1.23E-2"/>
    <n v="7521.17"/>
    <s v="2424 Church St, Apt 22"/>
    <s v="H0E 1R6"/>
    <s v="David Lee"/>
    <n v="745074"/>
    <d v="2023-09-29T00:00:00"/>
    <s v="Kingston"/>
    <n v="1.23E-2"/>
    <n v="1"/>
    <s v="Single-family and multi-unit homes"/>
    <s v="Valid"/>
    <s v="Match"/>
    <s v="Valid"/>
    <s v="Unique"/>
    <s v="Valid"/>
    <s v="Valid"/>
    <s v="Valid"/>
    <s v="Complete"/>
    <n v="4842179.1619999995"/>
    <n v="12553041.036323847"/>
    <s v="Normal"/>
    <x v="0"/>
  </r>
  <r>
    <s v="2374-HAM-645-00470"/>
    <s v="X99"/>
    <x v="7"/>
    <x v="2"/>
    <x v="0"/>
    <n v="2326066"/>
    <n v="9.7999999999999997E-3"/>
    <n v="22795.45"/>
    <s v="6281 Cedar Ave"/>
    <s v="S1E 9P2"/>
    <s v="Daniel Clark"/>
    <n v="2702660"/>
    <d v="2023-12-02T00:00:00"/>
    <m/>
    <m/>
    <n v="1"/>
    <s v="Farms and rural properties"/>
    <s v="Invalid"/>
    <s v="Mismatch"/>
    <s v="Mismatch"/>
    <s v="Unique"/>
    <s v="Valid"/>
    <s v="Valid"/>
    <s v="Valid"/>
    <s v="Complete"/>
    <n v="4842179.1619999995"/>
    <n v="12553041.036323847"/>
    <s v="Normal"/>
    <x v="1"/>
  </r>
  <r>
    <s v="2210-WDR-199-00471"/>
    <s v="WDR"/>
    <x v="8"/>
    <x v="0"/>
    <x v="1"/>
    <n v="1058314"/>
    <n v="1.2699999999999999E-2"/>
    <n v="13440.59"/>
    <s v="1154 Wellington St"/>
    <s v="M6H 2P2"/>
    <s v="Daniel Martin"/>
    <n v="1019891"/>
    <d v="2020-03-27T00:00:00"/>
    <s v="Windsor"/>
    <n v="1.2699999999999999E-2"/>
    <n v="1"/>
    <s v="Single-family and multi-unit homes"/>
    <s v="Valid"/>
    <s v="Match"/>
    <s v="Valid"/>
    <s v="Unique"/>
    <s v="Valid"/>
    <s v="Valid"/>
    <s v="Valid"/>
    <s v="Complete"/>
    <n v="4842179.1619999995"/>
    <n v="12553041.036323847"/>
    <s v="Normal"/>
    <x v="0"/>
  </r>
  <r>
    <s v="2217-MSS-867-00472"/>
    <s v="MSS"/>
    <x v="6"/>
    <x v="4"/>
    <x v="1"/>
    <n v="4052668"/>
    <n v="1.52E-2"/>
    <n v="61600.55"/>
    <s v="3003 Maple Ave"/>
    <s v="S7E 2C4"/>
    <s v="Sarah Taylor"/>
    <n v="3738553"/>
    <d v="2019-05-02T00:00:00"/>
    <s v="Mississauga"/>
    <n v="1.52E-2"/>
    <n v="1"/>
    <s v="Apartment buildings and multi-tenant residential"/>
    <s v="Valid"/>
    <s v="Match"/>
    <s v="Valid"/>
    <s v="Unique"/>
    <s v="Valid"/>
    <s v="Valid"/>
    <s v="Valid"/>
    <s v="Complete"/>
    <n v="4842179.1619999995"/>
    <n v="12553041.036323847"/>
    <s v="Normal"/>
    <x v="0"/>
  </r>
  <r>
    <s v="2422-GUE-109-00473"/>
    <s v="GUE"/>
    <x v="5"/>
    <x v="3"/>
    <x v="3"/>
    <n v="2520312"/>
    <n v="2.0500000000000001E-2"/>
    <n v="51666.400000000001"/>
    <s v="1010 Church St"/>
    <s v="A9B 1J8"/>
    <s v="Thomas Group Inc."/>
    <n v="2727043"/>
    <d v="2022-06-29T00:00:00"/>
    <s v="Guelph"/>
    <n v="2.0500000000000001E-2"/>
    <n v="1"/>
    <s v="Business properties and retail"/>
    <s v="Valid"/>
    <s v="Match"/>
    <s v="Valid"/>
    <s v="Unique"/>
    <s v="Valid"/>
    <s v="Valid"/>
    <s v="Valid"/>
    <s v="Complete"/>
    <n v="4842179.1619999995"/>
    <n v="12553041.036323847"/>
    <s v="Normal"/>
    <x v="0"/>
  </r>
  <r>
    <s v="2353-MSS-479-00474"/>
    <s v="MSS"/>
    <x v="6"/>
    <x v="2"/>
    <x v="0"/>
    <n v="2036799"/>
    <n v="9.9000000000000008E-3"/>
    <n v="20164.310000000001"/>
    <s v="5630 Victoria Rd"/>
    <s v="P6R 9B5"/>
    <s v="White Holdings Inc."/>
    <n v="1835318"/>
    <d v="2024-11-17T00:00:00"/>
    <s v="Mississauga"/>
    <n v="9.9000000000000008E-3"/>
    <n v="1"/>
    <s v="Farms and rural properties"/>
    <s v="Valid"/>
    <s v="Match"/>
    <s v="Valid"/>
    <s v="Unique"/>
    <s v="Valid"/>
    <s v="Valid"/>
    <s v="Valid"/>
    <s v="Complete"/>
    <n v="4842179.1619999995"/>
    <n v="12553041.036323847"/>
    <s v="Normal"/>
    <x v="0"/>
  </r>
  <r>
    <s v="2177-BRN-386-00475"/>
    <s v="BRN"/>
    <x v="3"/>
    <x v="3"/>
    <x v="2"/>
    <n v="2940082"/>
    <n v="2.06E-2"/>
    <n v="60565.69"/>
    <s v="4082 Victoria Rd"/>
    <s v="V8S 3A5"/>
    <s v="Noah Jackson"/>
    <n v="2693156"/>
    <d v="2022-08-26T00:00:00"/>
    <s v="Brampton"/>
    <n v="2.06E-2"/>
    <n v="1"/>
    <s v="Business properties and retail"/>
    <s v="Valid"/>
    <s v="Match"/>
    <s v="Valid"/>
    <s v="Unique"/>
    <s v="Valid"/>
    <s v="Valid"/>
    <s v="Valid"/>
    <s v="Complete"/>
    <n v="4842179.1619999995"/>
    <n v="12553041.036323847"/>
    <s v="Normal"/>
    <x v="0"/>
  </r>
  <r>
    <s v="2488-MSS-913-00476"/>
    <s v="MSS"/>
    <x v="6"/>
    <x v="3"/>
    <x v="3"/>
    <n v="2243923"/>
    <n v="2.0899999999999998E-2"/>
    <n v="47197.99"/>
    <s v="1343 Victoria Rd"/>
    <s v="V1R 4J2"/>
    <s v="Clark Group Inc."/>
    <n v="2635940"/>
    <d v="2025-01-07T00:00:00"/>
    <s v="Mississauga"/>
    <n v="2.0899999999999998E-2"/>
    <n v="1"/>
    <s v="Business properties and retail"/>
    <s v="Valid"/>
    <s v="Match"/>
    <s v="Mismatch"/>
    <s v="Unique"/>
    <s v="Valid"/>
    <s v="Valid"/>
    <s v="Valid"/>
    <s v="Complete"/>
    <n v="4842179.1619999995"/>
    <n v="12553041.036323847"/>
    <s v="Normal"/>
    <x v="1"/>
  </r>
  <r>
    <s v="2221-OSH-408-00477"/>
    <s v="OSH"/>
    <x v="2"/>
    <x v="0"/>
    <x v="1"/>
    <n v="769620"/>
    <n v="1.24E-2"/>
    <n v="9543.2900000000009"/>
    <s v="9000 Lakeshore Rd, Suite 4"/>
    <s v="V8K 3J2"/>
    <s v="David Brown"/>
    <n v="809804"/>
    <d v="2019-04-30T00:00:00"/>
    <s v="Oshawa"/>
    <n v="1.24E-2"/>
    <n v="1"/>
    <s v="Single-family and multi-unit homes"/>
    <s v="Valid"/>
    <s v="Match"/>
    <s v="Valid"/>
    <s v="Unique"/>
    <s v="Valid"/>
    <s v="Valid"/>
    <s v="Valid"/>
    <s v="Complete"/>
    <n v="4842179.1619999995"/>
    <n v="12553041.036323847"/>
    <s v="Normal"/>
    <x v="0"/>
  </r>
  <r>
    <s v="2438-HAM-836-00478"/>
    <s v="HAM"/>
    <x v="7"/>
    <x v="1"/>
    <x v="3"/>
    <n v="7158110"/>
    <n v="1.8800000000000001E-2"/>
    <n v="134472.47"/>
    <s v="4230 Park Ave"/>
    <s v="E2Y 7C5"/>
    <s v="Clark Group Inc."/>
    <n v="8362234"/>
    <d v="2024-05-15T00:00:00"/>
    <s v="Hamilton"/>
    <n v="1.8800000000000001E-2"/>
    <n v="1"/>
    <s v="Manufacturing and warehousing"/>
    <s v="Valid"/>
    <s v="Match"/>
    <s v="Mismatch"/>
    <s v="Unique"/>
    <s v="Valid"/>
    <s v="Valid"/>
    <s v="Valid"/>
    <s v="Complete"/>
    <n v="4842179.1619999995"/>
    <n v="12553041.036323847"/>
    <s v="Normal"/>
    <x v="1"/>
  </r>
  <r>
    <s v="2458-OTT-769-00479"/>
    <s v="OTT"/>
    <x v="0"/>
    <x v="1"/>
    <x v="3"/>
    <n v="8997995"/>
    <n v="1.8100000000000002E-2"/>
    <n v="162863.71"/>
    <s v="9216 Wellington St"/>
    <s v="M5V2T6"/>
    <s v="Daniel Wilson"/>
    <n v="11064859"/>
    <d v="2024-03-19T00:00:00"/>
    <s v="Ottawa"/>
    <n v="1.8100000000000002E-2"/>
    <n v="1"/>
    <s v="Manufacturing and warehousing"/>
    <s v="Valid"/>
    <s v="Match"/>
    <s v="Valid"/>
    <s v="Unique"/>
    <s v="Invalid"/>
    <s v="Valid"/>
    <s v="Valid"/>
    <s v="Complete"/>
    <n v="4842179.1619999995"/>
    <n v="12553041.036323847"/>
    <s v="Normal"/>
    <x v="1"/>
  </r>
  <r>
    <s v="2383-KIN-854-00480"/>
    <s v="KIN"/>
    <x v="10"/>
    <x v="3"/>
    <x v="0"/>
    <n v="4960622"/>
    <n v="2.0299999999999999E-2"/>
    <n v="100700.63"/>
    <s v="37 Church St, Apt 7"/>
    <s v="R6N 5G8"/>
    <s v="Grace Brown"/>
    <n v="5150908"/>
    <d v="2023-01-07T00:00:00"/>
    <s v="Kingston"/>
    <n v="2.0299999999999999E-2"/>
    <n v="1"/>
    <s v="Business properties and retail"/>
    <s v="Valid"/>
    <s v="Match"/>
    <s v="Valid"/>
    <s v="Unique"/>
    <s v="Valid"/>
    <s v="Valid"/>
    <s v="Valid"/>
    <s v="Complete"/>
    <n v="4842179.1619999995"/>
    <n v="12553041.036323847"/>
    <s v="Normal"/>
    <x v="0"/>
  </r>
  <r>
    <s v="2247-MSS-957-00481"/>
    <s v="MSS"/>
    <x v="6"/>
    <x v="1"/>
    <x v="1"/>
    <n v="7705348"/>
    <n v="1.89E-2"/>
    <n v="145631.07999999999"/>
    <s v="3596 Lakeshore Rd"/>
    <s v="G9M 2B9"/>
    <s v="Ethan Wilson"/>
    <n v="7267780"/>
    <d v="2024-05-13T00:00:00"/>
    <s v="Mississauga"/>
    <n v="1.89E-2"/>
    <n v="1"/>
    <s v="Manufacturing and warehousing"/>
    <s v="Valid"/>
    <s v="Match"/>
    <s v="Valid"/>
    <s v="Unique"/>
    <s v="Valid"/>
    <s v="Valid"/>
    <s v="Valid"/>
    <s v="Complete"/>
    <n v="4842179.1619999995"/>
    <n v="12553041.036323847"/>
    <s v="Normal"/>
    <x v="0"/>
  </r>
  <r>
    <s v="2358-LON-160-00482"/>
    <s v="LON"/>
    <x v="4"/>
    <x v="2"/>
    <x v="0"/>
    <n v="2369906"/>
    <n v="9.4000000000000004E-3"/>
    <n v="22277.119999999999"/>
    <s v="5468 Queen St"/>
    <s v="J3B 2V6"/>
    <s v="Aisha Smith"/>
    <n v="2587416"/>
    <d v="2021-11-22T00:00:00"/>
    <s v="London"/>
    <n v="9.4000000000000004E-3"/>
    <n v="1"/>
    <s v="Farms and rural properties"/>
    <s v="Valid"/>
    <s v="Match"/>
    <s v="Valid"/>
    <s v="Unique"/>
    <s v="Valid"/>
    <s v="Valid"/>
    <s v="Valid"/>
    <s v="Complete"/>
    <n v="4842179.1619999995"/>
    <n v="12553041.036323847"/>
    <s v="Normal"/>
    <x v="0"/>
  </r>
  <r>
    <s v="2360-BRN-173-00483"/>
    <s v="BRN"/>
    <x v="3"/>
    <x v="2"/>
    <x v="0"/>
    <n v="2572386"/>
    <n v="9.5999999999999992E-3"/>
    <n v="24694.91"/>
    <s v="8658 Church St"/>
    <s v="J8R 1G5"/>
    <s v="Mary Jackson"/>
    <n v="3156578"/>
    <d v="2021-09-14T00:00:00"/>
    <s v="Brampton"/>
    <n v="9.5999999999999992E-3"/>
    <n v="1"/>
    <s v="Farms and rural properties"/>
    <s v="Valid"/>
    <s v="Match"/>
    <s v="Valid"/>
    <s v="Unique"/>
    <s v="Valid"/>
    <s v="Valid"/>
    <s v="Valid"/>
    <s v="Complete"/>
    <n v="4842179.1619999995"/>
    <n v="12553041.036323847"/>
    <s v="Normal"/>
    <x v="0"/>
  </r>
  <r>
    <s v="2175-MSS-765-00485"/>
    <s v="MSS"/>
    <x v="5"/>
    <x v="3"/>
    <x v="2"/>
    <n v="1359166"/>
    <n v="2.0899999999999998E-2"/>
    <n v="28406.57"/>
    <s v="5555 Cedar Ave"/>
    <s v="G6K 0E3"/>
    <s v="Fatima Wilson"/>
    <n v="1506845"/>
    <d v="2020-12-07T00:00:00"/>
    <s v="Mississauga"/>
    <n v="2.0899999999999998E-2"/>
    <n v="1"/>
    <s v="Business properties and retail"/>
    <s v="Valid"/>
    <s v="Mismatch"/>
    <s v="Valid"/>
    <s v="Unique"/>
    <s v="Valid"/>
    <s v="Valid"/>
    <s v="Valid"/>
    <s v="Complete"/>
    <n v="4842179.1619999995"/>
    <n v="12553041.036323847"/>
    <s v="Normal"/>
    <x v="1"/>
  </r>
  <r>
    <s v="2493-BRN-491-00486"/>
    <s v="BRN"/>
    <x v="3"/>
    <x v="0"/>
    <x v="3"/>
    <n v="1121122"/>
    <n v="1.26E-2"/>
    <n v="14126.14"/>
    <s v="4519 Park Ave"/>
    <s v="P0E 1C1"/>
    <s v="Ethan Williams"/>
    <n v="1018045"/>
    <d v="2024-03-19T00:00:00"/>
    <s v="Brampton"/>
    <n v="1.26E-2"/>
    <n v="1"/>
    <s v="Single-family and multi-unit homes"/>
    <s v="Valid"/>
    <s v="Match"/>
    <s v="Valid"/>
    <s v="Unique"/>
    <s v="Valid"/>
    <s v="Valid"/>
    <s v="Valid"/>
    <s v="Complete"/>
    <n v="4842179.1619999995"/>
    <n v="12553041.036323847"/>
    <s v="Normal"/>
    <x v="0"/>
  </r>
  <r>
    <s v="2322-GUE-913-00487"/>
    <s v="GUE"/>
    <x v="5"/>
    <x v="2"/>
    <x v="0"/>
    <n v="2332739"/>
    <n v="9.4999999999999998E-3"/>
    <n v="22161.02"/>
    <s v="9723 Queen St"/>
    <s v="S4G 1N1"/>
    <s v="Ella Johnson"/>
    <n v="2430401"/>
    <d v="2023-12-06T00:00:00"/>
    <s v="Guelph"/>
    <n v="9.4999999999999998E-3"/>
    <n v="1"/>
    <s v="Farms and rural properties"/>
    <s v="Valid"/>
    <s v="Match"/>
    <s v="Valid"/>
    <s v="Unique"/>
    <s v="Valid"/>
    <s v="Valid"/>
    <s v="Valid"/>
    <s v="Complete"/>
    <n v="4842179.1619999995"/>
    <n v="12553041.036323847"/>
    <s v="Normal"/>
    <x v="0"/>
  </r>
  <r>
    <s v="2484-TOR-651-00488"/>
    <s v="ZZZ"/>
    <x v="0"/>
    <x v="2"/>
    <x v="3"/>
    <n v="641153"/>
    <n v="9.4999999999999998E-3"/>
    <n v="6090.95"/>
    <s v="2043 Maple Ave"/>
    <s v="E2H 0Y7"/>
    <s v="Brown Holdings Inc."/>
    <n v="605944"/>
    <d v="2022-02-27T00:00:00"/>
    <m/>
    <m/>
    <n v="1"/>
    <s v="Farms and rural properties"/>
    <s v="Invalid"/>
    <s v="Mismatch"/>
    <s v="Mismatch"/>
    <s v="Unique"/>
    <s v="Valid"/>
    <s v="Valid"/>
    <s v="Valid"/>
    <s v="Complete"/>
    <n v="4842179.1619999995"/>
    <n v="12553041.036323847"/>
    <s v="Normal"/>
    <x v="1"/>
  </r>
  <r>
    <s v="2314-HAM-186-00489"/>
    <s v="HAM"/>
    <x v="7"/>
    <x v="0"/>
    <x v="0"/>
    <n v="1102716"/>
    <n v="1.2800000000000001E-2"/>
    <n v="14114.76"/>
    <s v="2053 Elm St"/>
    <s v="Y2S 0K4"/>
    <s v="Ethan Clark"/>
    <n v="1294567"/>
    <d v="2023-09-11T00:00:00"/>
    <s v="Hamilton"/>
    <n v="1.2800000000000001E-2"/>
    <n v="1"/>
    <s v="Single-family and multi-unit homes"/>
    <s v="Valid"/>
    <s v="Match"/>
    <s v="Valid"/>
    <s v="Unique"/>
    <s v="Valid"/>
    <s v="Valid"/>
    <s v="Valid"/>
    <s v="Complete"/>
    <n v="4842179.1619999995"/>
    <n v="12553041.036323847"/>
    <s v="Normal"/>
    <x v="0"/>
  </r>
  <r>
    <s v="2298-OSH-420-00490"/>
    <s v="OSH"/>
    <x v="2"/>
    <x v="2"/>
    <x v="1"/>
    <n v="1953231"/>
    <n v="9.4000000000000004E-3"/>
    <n v="18360.37"/>
    <s v="8573 Victoria Rd"/>
    <s v="X3E 0K0"/>
    <s v="Fatima Jackson"/>
    <n v="2327118"/>
    <d v="2020-07-03T00:00:00"/>
    <s v="Oshawa"/>
    <n v="9.4000000000000004E-3"/>
    <n v="1"/>
    <s v="Farms and rural properties"/>
    <s v="Valid"/>
    <s v="Match"/>
    <s v="Valid"/>
    <s v="Unique"/>
    <s v="Valid"/>
    <s v="Valid"/>
    <s v="Valid"/>
    <s v="Complete"/>
    <n v="4842179.1619999995"/>
    <n v="12553041.036323847"/>
    <s v="Normal"/>
    <x v="0"/>
  </r>
  <r>
    <s v="2245-GUE-231-00491"/>
    <s v="GUE"/>
    <x v="5"/>
    <x v="4"/>
    <x v="1"/>
    <n v="8127934"/>
    <n v="1.4800000000000001E-2"/>
    <n v="120293.42"/>
    <s v="6924 King St"/>
    <s v="L6H 6T1"/>
    <s v="Nguyen Investments Inc."/>
    <n v="9989798"/>
    <d v="2020-08-09T00:00:00"/>
    <s v="Guelph"/>
    <n v="1.4800000000000001E-2"/>
    <n v="1"/>
    <s v="Apartment buildings and multi-tenant residential"/>
    <s v="Valid"/>
    <s v="Match"/>
    <s v="Valid"/>
    <s v="Unique"/>
    <s v="Valid"/>
    <s v="Valid"/>
    <s v="Valid"/>
    <s v="Complete"/>
    <n v="4842179.1619999995"/>
    <n v="12553041.036323847"/>
    <s v="Normal"/>
    <x v="0"/>
  </r>
  <r>
    <s v="2144-OSH-748-00492"/>
    <s v="OSH"/>
    <x v="2"/>
    <x v="3"/>
    <x v="2"/>
    <n v="3048296"/>
    <n v="2.0400000000000001E-2"/>
    <n v="62185.24"/>
    <s v="3166 Victoria Rd"/>
    <s v="X9H 6G5"/>
    <s v="Thomas Investments Inc."/>
    <n v="2771110"/>
    <d v="2021-10-10T00:00:00"/>
    <s v="Oshawa"/>
    <n v="2.0400000000000001E-2"/>
    <n v="1"/>
    <s v="Business properties and retail"/>
    <s v="Valid"/>
    <s v="Match"/>
    <s v="Valid"/>
    <s v="Unique"/>
    <s v="Valid"/>
    <s v="Valid"/>
    <s v="Valid"/>
    <s v="Complete"/>
    <n v="4842179.1619999995"/>
    <n v="12553041.036323847"/>
    <s v="Normal"/>
    <x v="0"/>
  </r>
  <r>
    <s v="2197-OTT-661-00493"/>
    <s v="OTT"/>
    <x v="0"/>
    <x v="1"/>
    <x v="2"/>
    <n v="5144133"/>
    <n v="1.8100000000000002E-2"/>
    <n v="93108.81"/>
    <s v="6674 King St"/>
    <s v="C5N 4G3"/>
    <s v="Sarah Thomas"/>
    <n v="6393230"/>
    <d v="2021-06-29T00:00:00"/>
    <s v="Ottawa"/>
    <n v="1.8100000000000002E-2"/>
    <n v="1"/>
    <s v="Manufacturing and warehousing"/>
    <s v="Valid"/>
    <s v="Match"/>
    <s v="Valid"/>
    <s v="Unique"/>
    <s v="Valid"/>
    <s v="Valid"/>
    <s v="Valid"/>
    <s v="Complete"/>
    <n v="4842179.1619999995"/>
    <n v="12553041.036323847"/>
    <s v="Normal"/>
    <x v="0"/>
  </r>
  <r>
    <s v="2149-BRN-702-00494"/>
    <s v="BRN"/>
    <x v="3"/>
    <x v="0"/>
    <x v="2"/>
    <n v="546421"/>
    <n v="1.26E-2"/>
    <n v="6884.9"/>
    <s v="8031 King St"/>
    <s v="M8L 9E0"/>
    <s v="Sophia Johnson"/>
    <n v="557792"/>
    <d v="2024-12-17T00:00:00"/>
    <s v="Brampton"/>
    <n v="1.26E-2"/>
    <n v="1"/>
    <s v="Single-family and multi-unit homes"/>
    <s v="Valid"/>
    <s v="Match"/>
    <s v="Valid"/>
    <s v="Unique"/>
    <s v="Valid"/>
    <s v="Valid"/>
    <s v="Valid"/>
    <s v="Complete"/>
    <n v="4842179.1619999995"/>
    <n v="12553041.036323847"/>
    <s v="Normal"/>
    <x v="0"/>
  </r>
  <r>
    <s v="2426-OSH-365-00495"/>
    <s v="OSH"/>
    <x v="2"/>
    <x v="4"/>
    <x v="3"/>
    <n v="6824402"/>
    <n v="1.47E-2"/>
    <n v="100318.71"/>
    <s v="165 Park Ave"/>
    <s v="G2G 6L0"/>
    <s v="Nguyen Developments Inc."/>
    <n v="7831860"/>
    <d v="2022-05-26T00:00:00"/>
    <s v="Oshawa"/>
    <n v="1.47E-2"/>
    <n v="1"/>
    <s v="Apartment buildings and multi-tenant residential"/>
    <s v="Valid"/>
    <s v="Match"/>
    <s v="Valid"/>
    <s v="Unique"/>
    <s v="Valid"/>
    <s v="Valid"/>
    <s v="Valid"/>
    <s v="Complete"/>
    <n v="4842179.1619999995"/>
    <n v="12553041.036323847"/>
    <s v="Normal"/>
    <x v="0"/>
  </r>
  <r>
    <s v="2455-GUE-917-00496"/>
    <s v="GUE"/>
    <x v="5"/>
    <x v="2"/>
    <x v="3"/>
    <n v="960521"/>
    <n v="9.4999999999999998E-3"/>
    <n v="9124.9500000000007"/>
    <s v="7688 Elm St"/>
    <s v="S8K 4C4"/>
    <s v="Olivia Jackson"/>
    <n v="894773"/>
    <d v="2021-06-12T00:00:00"/>
    <s v="Guelph"/>
    <n v="9.4999999999999998E-3"/>
    <n v="1"/>
    <s v="Farms and rural properties"/>
    <s v="Valid"/>
    <s v="Match"/>
    <s v="Valid"/>
    <s v="Unique"/>
    <s v="Valid"/>
    <s v="Valid"/>
    <s v="Valid"/>
    <s v="Complete"/>
    <n v="4842179.1619999995"/>
    <n v="12553041.036323847"/>
    <s v="Normal"/>
    <x v="0"/>
  </r>
  <r>
    <s v="2117-OTT-186-00497"/>
    <s v="OTT"/>
    <x v="0"/>
    <x v="3"/>
    <x v="2"/>
    <n v="1537755"/>
    <n v="2.01E-2"/>
    <n v="30908.880000000001"/>
    <s v="4693 Elm St"/>
    <s v="A6X 2V7"/>
    <s v="Ella Wilson"/>
    <n v="1451090"/>
    <d v="2019-02-26T00:00:00"/>
    <s v="Ottawa"/>
    <n v="2.01E-2"/>
    <n v="1"/>
    <s v="Business properties and retail"/>
    <s v="Valid"/>
    <s v="Match"/>
    <s v="Valid"/>
    <s v="Unique"/>
    <s v="Valid"/>
    <s v="Valid"/>
    <s v="Valid"/>
    <s v="Complete"/>
    <n v="4842179.1619999995"/>
    <n v="12553041.036323847"/>
    <s v="Normal"/>
    <x v="0"/>
  </r>
  <r>
    <s v="2199-GUE-647-00498"/>
    <s v="GUE"/>
    <x v="5"/>
    <x v="3"/>
    <x v="2"/>
    <n v="3407134"/>
    <n v="2.0500000000000001E-2"/>
    <n v="69846.25"/>
    <s v="5663 Maple Ave"/>
    <s v="X9B 9T2"/>
    <s v="Ethan Clark"/>
    <n v="3334814"/>
    <d v="2019-11-04T00:00:00"/>
    <s v="Guelph"/>
    <n v="2.0500000000000001E-2"/>
    <n v="1"/>
    <s v="Business properties and retail"/>
    <s v="Valid"/>
    <s v="Match"/>
    <s v="Valid"/>
    <s v="Unique"/>
    <s v="Valid"/>
    <s v="Valid"/>
    <s v="Valid"/>
    <s v="Complete"/>
    <n v="4842179.1619999995"/>
    <n v="12553041.036323847"/>
    <s v="Normal"/>
    <x v="0"/>
  </r>
  <r>
    <s v="2364-KIN-607-00499"/>
    <s v="KIN"/>
    <x v="10"/>
    <x v="3"/>
    <x v="0"/>
    <n v="4942841"/>
    <n v="2.0299999999999999E-2"/>
    <n v="100339.67"/>
    <s v="6221 Queen St"/>
    <s v="E5K 8E4"/>
    <s v="Fatima Taylor"/>
    <n v="4817160"/>
    <d v="2024-02-20T00:00:00"/>
    <s v="Kingston"/>
    <n v="2.0299999999999999E-2"/>
    <n v="1"/>
    <s v="Business properties and retail"/>
    <s v="Valid"/>
    <s v="Match"/>
    <s v="Valid"/>
    <s v="Unique"/>
    <s v="Valid"/>
    <s v="Valid"/>
    <s v="Valid"/>
    <s v="Complete"/>
    <n v="4842179.1619999995"/>
    <n v="12553041.036323847"/>
    <s v="Normal"/>
    <x v="0"/>
  </r>
  <r>
    <s v="2292-GUE-627-00500"/>
    <s v="GUE"/>
    <x v="5"/>
    <x v="2"/>
    <x v="1"/>
    <n v="3413718"/>
    <n v="9.4999999999999998E-3"/>
    <n v="32430.32"/>
    <s v="590 Lakeshore Rd"/>
    <s v="V0P 0T5"/>
    <s v="Sarah Smith"/>
    <n v="3490194"/>
    <d v="2021-02-01T00:00:00"/>
    <s v="Guelph"/>
    <n v="9.4999999999999998E-3"/>
    <n v="1"/>
    <s v="Farms and rural properties"/>
    <s v="Valid"/>
    <s v="Match"/>
    <s v="Valid"/>
    <s v="Unique"/>
    <s v="Valid"/>
    <s v="Valid"/>
    <s v="Valid"/>
    <s v="Complete"/>
    <n v="4842179.1619999995"/>
    <n v="12553041.036323847"/>
    <s v="Normal"/>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12"/>
  </r>
  <r>
    <x v="1"/>
    <n v="31"/>
  </r>
  <r>
    <x v="2"/>
    <n v="10"/>
  </r>
  <r>
    <x v="3"/>
    <n v="47"/>
  </r>
  <r>
    <x v="4"/>
    <n v="20"/>
  </r>
  <r>
    <x v="5"/>
    <n v="13"/>
  </r>
  <r>
    <x v="6"/>
    <n v="8"/>
  </r>
  <r>
    <x v="7"/>
    <n v="0"/>
  </r>
  <r>
    <x v="8"/>
    <n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x v="0"/>
    <s v="OSH"/>
    <x v="0"/>
    <x v="0"/>
    <n v="2022"/>
    <x v="0"/>
    <n v="9.4000000000000004E-3"/>
    <n v="14980.22"/>
    <s v="116 Queen St"/>
    <s v="A1 1A1"/>
    <s v="Sarah Anderson"/>
    <n v="1906986"/>
    <d v="2021-12-19T00:00:00"/>
    <s v="Oshawa"/>
    <n v="9.4000000000000004E-3"/>
    <n v="1"/>
    <s v="Farms and rural properties"/>
    <s v="Valid"/>
    <s v="Match"/>
    <s v="Valid"/>
    <s v="Unique"/>
    <s v="Invalid"/>
    <s v="Valid"/>
    <s v="Valid"/>
    <s v="Complete"/>
    <n v="4842179.1619999995"/>
    <n v="12553041.036323847"/>
    <s v="Normal"/>
    <s v="Issue"/>
    <x v="0"/>
  </r>
  <r>
    <x v="1"/>
    <s v="OSH"/>
    <x v="0"/>
    <x v="0"/>
    <n v="2024"/>
    <x v="1"/>
    <n v="9.4000000000000004E-3"/>
    <n v="5969.99"/>
    <s v="9579 Main St"/>
    <s v="R7A 5M6"/>
    <s v="Jackson Investments Inc."/>
    <n v="691234"/>
    <d v="2025-02-13T00:00:00"/>
    <s v="Oshawa"/>
    <n v="9.4000000000000004E-3"/>
    <n v="2"/>
    <s v="Farms and rural properties"/>
    <s v="Valid"/>
    <s v="Match"/>
    <s v="Valid"/>
    <s v="Duplicate"/>
    <s v="Valid"/>
    <s v="Valid"/>
    <s v="Valid"/>
    <s v="Complete"/>
    <n v="4842179.1619999995"/>
    <n v="12553041.036323847"/>
    <s v="Normal"/>
    <s v="Issue"/>
    <x v="1"/>
  </r>
  <r>
    <x v="1"/>
    <s v="OSH"/>
    <x v="0"/>
    <x v="0"/>
    <n v="2023"/>
    <x v="2"/>
    <n v="9.4000000000000004E-3"/>
    <n v="6193.98"/>
    <s v="217 Wellington St"/>
    <s v="E6P 7G6"/>
    <s v="Ethan Nguyen"/>
    <n v="655329"/>
    <d v="2024-07-13T00:00:00"/>
    <s v="Oshawa"/>
    <n v="9.4000000000000004E-3"/>
    <n v="2"/>
    <s v="Farms and rural properties"/>
    <s v="Valid"/>
    <s v="Match"/>
    <s v="Valid"/>
    <s v="Duplicate"/>
    <s v="Valid"/>
    <s v="Valid"/>
    <s v="Valid"/>
    <s v="Complete"/>
    <n v="4842179.1619999995"/>
    <n v="12553041.036323847"/>
    <s v="Normal"/>
    <s v="Issue"/>
    <x v="1"/>
  </r>
  <r>
    <x v="2"/>
    <s v="LON"/>
    <x v="1"/>
    <x v="1"/>
    <n v="2023"/>
    <x v="3"/>
    <n v="1.47E-2"/>
    <n v="150357.32999999999"/>
    <s v="6553 Victoria Rd, Unit 17"/>
    <s v=""/>
    <s v="Thomas Group Inc."/>
    <n v="9432976"/>
    <d v="2022-02-20T00:00:00"/>
    <s v="London"/>
    <n v="1.47E-2"/>
    <n v="1"/>
    <s v="Apartment buildings and multi-tenant residential"/>
    <s v="Valid"/>
    <s v="Match"/>
    <s v="Valid"/>
    <s v="Unique"/>
    <s v="Invalid"/>
    <s v="Valid"/>
    <s v="Valid"/>
    <s v="Complete"/>
    <n v="4842179.1619999995"/>
    <n v="12553041.036323847"/>
    <s v="Normal"/>
    <s v="Issue"/>
    <x v="0"/>
  </r>
  <r>
    <x v="3"/>
    <s v="MSS"/>
    <x v="2"/>
    <x v="2"/>
    <n v="2024"/>
    <x v="4"/>
    <n v="2.0899999999999998E-2"/>
    <n v="93741.2"/>
    <s v="45 Wellington St"/>
    <s v="T4S 8V2"/>
    <s v="Daniel Smith"/>
    <n v="4945916"/>
    <d v="2027-07-06T00:00:00"/>
    <s v="Mississauga"/>
    <n v="2.0899999999999998E-2"/>
    <n v="1"/>
    <s v="Business properties and retail"/>
    <s v="Valid"/>
    <s v="Match"/>
    <s v="Valid"/>
    <s v="Unique"/>
    <s v="Valid"/>
    <s v="Valid"/>
    <s v="Invalid"/>
    <s v="Complete"/>
    <n v="4842179.1619999995"/>
    <n v="12553041.036323847"/>
    <s v="Normal"/>
    <s v="Issue"/>
    <x v="2"/>
  </r>
  <r>
    <x v="4"/>
    <s v="HAM"/>
    <x v="3"/>
    <x v="0"/>
    <n v="2022"/>
    <x v="5"/>
    <n v="9.7999999999999997E-3"/>
    <n v="13273.74"/>
    <s v="4591 Cedar Ave"/>
    <s v="L8A 8J1"/>
    <s v="Liam Martin"/>
    <n v="1482205"/>
    <d v="2021-09-11T00:00:00"/>
    <s v="Hamilton"/>
    <n v="9.7999999999999997E-3"/>
    <n v="2"/>
    <s v="Farms and rural properties"/>
    <s v="Valid"/>
    <s v="Match"/>
    <s v="Valid"/>
    <s v="Duplicate"/>
    <s v="Valid"/>
    <s v="Valid"/>
    <s v="Valid"/>
    <s v="Complete"/>
    <n v="4842179.1619999995"/>
    <n v="12553041.036323847"/>
    <s v="Normal"/>
    <s v="Issue"/>
    <x v="1"/>
  </r>
  <r>
    <x v="4"/>
    <s v="OSH"/>
    <x v="0"/>
    <x v="1"/>
    <n v="2021"/>
    <x v="6"/>
    <n v="1.47E-2"/>
    <n v="72234.009999999995"/>
    <s v="3264 Cedar Ave, Suite 27"/>
    <s v="X3P 6M2"/>
    <s v="Chloe Clark"/>
    <n v="4779694"/>
    <d v="2024-05-22T00:00:00"/>
    <s v="Oshawa"/>
    <n v="1.47E-2"/>
    <n v="2"/>
    <s v="Apartment buildings and multi-tenant residential"/>
    <s v="Valid"/>
    <s v="Match"/>
    <s v="Valid"/>
    <s v="Duplicate"/>
    <s v="Valid"/>
    <s v="Valid"/>
    <s v="Valid"/>
    <s v="Complete"/>
    <n v="4842179.1619999995"/>
    <n v="12553041.036323847"/>
    <s v="Normal"/>
    <s v="Issue"/>
    <x v="1"/>
  </r>
  <r>
    <x v="5"/>
    <s v="WDR"/>
    <x v="4"/>
    <x v="3"/>
    <n v="2021"/>
    <x v="7"/>
    <n v="1.2699999999999999E-2"/>
    <n v="8363.14"/>
    <s v="4301 Queen St"/>
    <s v="Y6Y 0E1"/>
    <s v="Wilson Properties Inc."/>
    <n v="718411"/>
    <d v="2027-05-19T00:00:00"/>
    <s v="Windsor"/>
    <n v="1.2699999999999999E-2"/>
    <n v="1"/>
    <s v="Single-family and multi-unit homes"/>
    <s v="Valid"/>
    <s v="Match"/>
    <s v="Valid"/>
    <s v="Unique"/>
    <s v="Valid"/>
    <s v="Valid"/>
    <s v="Invalid"/>
    <s v="Complete"/>
    <n v="4842179.1619999995"/>
    <n v="12553041.036323847"/>
    <s v="Normal"/>
    <s v="Issue"/>
    <x v="2"/>
  </r>
  <r>
    <x v="6"/>
    <s v="GUE"/>
    <x v="5"/>
    <x v="1"/>
    <n v="2022"/>
    <x v="8"/>
    <n v="1.4800000000000001E-2"/>
    <n v="93719.62"/>
    <s v="5984 Main St"/>
    <s v="J3E 5Y6"/>
    <s v="Wilson Properties Inc."/>
    <n v="7750976"/>
    <d v="2021-08-27T00:00:00"/>
    <s v="Guelph"/>
    <n v="1.4800000000000001E-2"/>
    <n v="1"/>
    <s v="Apartment buildings and multi-tenant residential"/>
    <s v="Valid"/>
    <s v="Mismatch"/>
    <s v="Valid"/>
    <s v="Unique"/>
    <s v="Valid"/>
    <s v="Valid"/>
    <s v="Valid"/>
    <s v="Complete"/>
    <n v="4842179.1619999995"/>
    <n v="12553041.036323847"/>
    <s v="Normal"/>
    <s v="Issue"/>
    <x v="3"/>
  </r>
  <r>
    <x v="7"/>
    <s v="BRN"/>
    <x v="6"/>
    <x v="2"/>
    <n v="2023"/>
    <x v="9"/>
    <n v="2.06E-2"/>
    <n v="46606.92"/>
    <s v="4710 Maple Ave"/>
    <s v="N7T 7J8"/>
    <s v="Aisha Nguyen"/>
    <n v="2103371"/>
    <d v="2022-11-21T00:00:00"/>
    <s v="Brampton"/>
    <n v="2.06E-2"/>
    <n v="1"/>
    <s v="Business properties and retail"/>
    <s v="Valid"/>
    <s v="Match"/>
    <s v="Mismatch"/>
    <s v="Unique"/>
    <s v="Valid"/>
    <s v="Valid"/>
    <s v="Valid"/>
    <s v="Complete"/>
    <n v="4842179.1619999995"/>
    <n v="12553041.036323847"/>
    <s v="Normal"/>
    <s v="Issue"/>
    <x v="4"/>
  </r>
  <r>
    <x v="8"/>
    <s v="BRN"/>
    <x v="6"/>
    <x v="0"/>
    <n v="2024"/>
    <x v="10"/>
    <n v="9.5999999999999992E-3"/>
    <n v="10411.67"/>
    <s v="100 King St"/>
    <s v="K2X 7B8"/>
    <s v="Sarah Martin"/>
    <n v="1036570"/>
    <d v="2023-08-10T00:00:00"/>
    <s v="Brampton"/>
    <n v="9.5999999999999992E-3"/>
    <n v="1"/>
    <s v="Farms and rural properties"/>
    <s v="Valid"/>
    <s v="Match"/>
    <s v="Mismatch"/>
    <s v="Unique"/>
    <s v="Valid"/>
    <s v="Valid"/>
    <s v="Valid"/>
    <s v="Complete"/>
    <n v="4842179.1619999995"/>
    <n v="12553041.036323847"/>
    <s v="Normal"/>
    <s v="Issue"/>
    <x v="4"/>
  </r>
  <r>
    <x v="9"/>
    <s v="KIN"/>
    <x v="5"/>
    <x v="2"/>
    <n v="2021"/>
    <x v="11"/>
    <n v="2.0299999999999999E-2"/>
    <n v="36680.980000000003"/>
    <s v="1080 Wellington St"/>
    <s v="B2G 9M1"/>
    <s v="Brown Group Inc."/>
    <n v="2109708"/>
    <d v="2021-07-13T00:00:00"/>
    <s v="Kingston"/>
    <n v="2.0299999999999999E-2"/>
    <n v="1"/>
    <s v="Business properties and retail"/>
    <s v="Valid"/>
    <s v="Mismatch"/>
    <s v="Valid"/>
    <s v="Unique"/>
    <s v="Valid"/>
    <s v="Valid"/>
    <s v="Valid"/>
    <s v="Complete"/>
    <n v="4842179.1619999995"/>
    <n v="12553041.036323847"/>
    <s v="Normal"/>
    <s v="Issue"/>
    <x v="3"/>
  </r>
  <r>
    <x v="10"/>
    <s v="MSS"/>
    <x v="2"/>
    <x v="0"/>
    <n v="2024"/>
    <x v="12"/>
    <n v="9.9000000000000008E-3"/>
    <n v="26908.04"/>
    <s v="3640 Wellington St"/>
    <s v="M9P 7Y8"/>
    <s v="Ella Anderson"/>
    <n v="2780861"/>
    <d v="2023-07-19T00:00:00"/>
    <s v="Mississauga"/>
    <n v="9.9000000000000008E-3"/>
    <n v="2"/>
    <s v="Farms and rural properties"/>
    <s v="Valid"/>
    <s v="Match"/>
    <s v="Valid"/>
    <s v="Duplicate"/>
    <s v="Valid"/>
    <s v="Valid"/>
    <s v="Valid"/>
    <s v="Complete"/>
    <n v="4842179.1619999995"/>
    <n v="12553041.036323847"/>
    <s v="Normal"/>
    <s v="Issue"/>
    <x v="1"/>
  </r>
  <r>
    <x v="10"/>
    <s v="KIN"/>
    <x v="7"/>
    <x v="2"/>
    <n v="2021"/>
    <x v="13"/>
    <n v="2.0299999999999999E-2"/>
    <n v="40537.78"/>
    <s v="5503 Queen St, Suite 30"/>
    <s v="V2V 7A1"/>
    <s v="Daniel Jackson"/>
    <n v="1901745"/>
    <d v="2024-12-01T00:00:00"/>
    <s v="Kingston"/>
    <n v="2.0299999999999999E-2"/>
    <n v="2"/>
    <s v="Business properties and retail"/>
    <s v="Valid"/>
    <s v="Match"/>
    <s v="Valid"/>
    <s v="Duplicate"/>
    <s v="Valid"/>
    <s v="Valid"/>
    <s v="Valid"/>
    <s v="Complete"/>
    <n v="4842179.1619999995"/>
    <n v="12553041.036323847"/>
    <s v="Normal"/>
    <s v="Issue"/>
    <x v="1"/>
  </r>
  <r>
    <x v="11"/>
    <s v="OSH"/>
    <x v="5"/>
    <x v="4"/>
    <n v="2021"/>
    <x v="14"/>
    <n v="1.84E-2"/>
    <n v="77825.210000000006"/>
    <s v="7460 King St"/>
    <s v="A0N 3G9"/>
    <s v="Ella Williams"/>
    <n v="4674732"/>
    <d v="2021-08-12T00:00:00"/>
    <s v="Oshawa"/>
    <n v="1.84E-2"/>
    <n v="1"/>
    <s v="Manufacturing and warehousing"/>
    <s v="Valid"/>
    <s v="Mismatch"/>
    <s v="Valid"/>
    <s v="Unique"/>
    <s v="Valid"/>
    <s v="Valid"/>
    <s v="Valid"/>
    <s v="Complete"/>
    <n v="4842179.1619999995"/>
    <n v="12553041.036323847"/>
    <s v="Normal"/>
    <s v="Issue"/>
    <x v="3"/>
  </r>
  <r>
    <x v="12"/>
    <s v="BRN"/>
    <x v="7"/>
    <x v="3"/>
    <n v="2024"/>
    <x v="15"/>
    <n v="1.26E-2"/>
    <n v="11934.88"/>
    <s v="1333 Victoria Rd"/>
    <s v="C2L 9Y5"/>
    <s v="Ethan Taylor"/>
    <n v="1002909"/>
    <d v="2024-05-24T00:00:00"/>
    <s v="Brampton"/>
    <n v="1.26E-2"/>
    <n v="1"/>
    <s v="Single-family and multi-unit homes"/>
    <s v="Valid"/>
    <s v="Mismatch"/>
    <s v="Valid"/>
    <s v="Unique"/>
    <s v="Valid"/>
    <s v="Valid"/>
    <s v="Valid"/>
    <s v="Complete"/>
    <n v="4842179.1619999995"/>
    <n v="12553041.036323847"/>
    <s v="Normal"/>
    <s v="Issue"/>
    <x v="3"/>
  </r>
  <r>
    <x v="13"/>
    <s v="OTT"/>
    <x v="8"/>
    <x v="4"/>
    <n v="2024"/>
    <x v="16"/>
    <n v="1.8100000000000002E-2"/>
    <n v="98791.48"/>
    <s v="4753 King St"/>
    <s v="N2T 5C6"/>
    <s v="Williams Investments Inc."/>
    <n v="6037224"/>
    <d v="2023-12-10T00:00:00"/>
    <s v="Ottawa"/>
    <n v="1.8100000000000002E-2"/>
    <n v="1"/>
    <s v="Manufacturing and warehousing"/>
    <s v="Valid"/>
    <s v="Mismatch"/>
    <s v="Valid"/>
    <s v="Unique"/>
    <s v="Valid"/>
    <s v="Valid"/>
    <s v="Valid"/>
    <s v="Complete"/>
    <n v="4842179.1619999995"/>
    <n v="12553041.036323847"/>
    <s v="Normal"/>
    <s v="Issue"/>
    <x v="3"/>
  </r>
  <r>
    <x v="14"/>
    <s v="GUE"/>
    <x v="8"/>
    <x v="3"/>
    <n v="2023"/>
    <x v="17"/>
    <n v="1.2500000000000001E-2"/>
    <n v="9706.23"/>
    <s v="7414 Main St, Suite 3"/>
    <s v="C9X 6T9"/>
    <s v="Mary Martin"/>
    <n v="945905"/>
    <d v="2023-03-16T00:00:00"/>
    <s v="Guelph"/>
    <n v="1.2500000000000001E-2"/>
    <n v="2"/>
    <s v="Single-family and multi-unit homes"/>
    <s v="Valid"/>
    <s v="Match"/>
    <s v="Valid"/>
    <s v="Duplicate"/>
    <s v="Valid"/>
    <s v="Valid"/>
    <s v="Valid"/>
    <s v="Complete"/>
    <n v="4842179.1619999995"/>
    <n v="12553041.036323847"/>
    <s v="Normal"/>
    <s v="Issue"/>
    <x v="1"/>
  </r>
  <r>
    <x v="14"/>
    <s v="MSS"/>
    <x v="2"/>
    <x v="4"/>
    <n v="2022"/>
    <x v="18"/>
    <n v="1.89E-2"/>
    <n v="23551.439999999999"/>
    <s v="4843 Cedar Ave"/>
    <s v="J2R 6X5"/>
    <s v="Sarah Johnson"/>
    <n v="1549647"/>
    <d v="2024-05-09T00:00:00"/>
    <s v="Mississauga"/>
    <n v="1.89E-2"/>
    <n v="2"/>
    <s v="Manufacturing and warehousing"/>
    <s v="Valid"/>
    <s v="Match"/>
    <s v="Valid"/>
    <s v="Duplicate"/>
    <s v="Valid"/>
    <s v="Valid"/>
    <s v="Valid"/>
    <s v="Complete"/>
    <n v="4842179.1619999995"/>
    <n v="12553041.036323847"/>
    <s v="Normal"/>
    <s v="Issue"/>
    <x v="1"/>
  </r>
  <r>
    <x v="15"/>
    <s v="OTT"/>
    <x v="9"/>
    <x v="4"/>
    <n v="2021"/>
    <x v="19"/>
    <n v="1.8100000000000002E-2"/>
    <n v="129115.29"/>
    <s v="8420 Queen St"/>
    <s v="C3T 5A6"/>
    <s v="Ethan Anderson"/>
    <n v="7000623"/>
    <d v="2019-12-01T00:00:00"/>
    <s v="Ottawa"/>
    <n v="1.8100000000000002E-2"/>
    <n v="1"/>
    <s v="Manufacturing and warehousing"/>
    <s v="Valid"/>
    <s v="Match"/>
    <s v="Mismatch"/>
    <s v="Unique"/>
    <s v="Valid"/>
    <s v="Valid"/>
    <s v="Valid"/>
    <s v="Complete"/>
    <n v="4842179.1619999995"/>
    <n v="12553041.036323847"/>
    <s v="Normal"/>
    <s v="Issue"/>
    <x v="4"/>
  </r>
  <r>
    <x v="16"/>
    <s v="BRN"/>
    <x v="6"/>
    <x v="1"/>
    <n v="2021"/>
    <x v="20"/>
    <n v="1.49E-2"/>
    <n v="123524.41"/>
    <s v="6087 Victoria Rd"/>
    <s v="C9G 8P6"/>
    <s v="James Williams"/>
    <n v="10248232"/>
    <d v="2019-04-17T00:00:00"/>
    <s v="Brampton"/>
    <n v="1.49E-2"/>
    <n v="2"/>
    <s v="Apartment buildings and multi-tenant residential"/>
    <s v="Valid"/>
    <s v="Match"/>
    <s v="Valid"/>
    <s v="Duplicate"/>
    <s v="Valid"/>
    <s v="Valid"/>
    <s v="Valid"/>
    <s v="Complete"/>
    <n v="4842179.1619999995"/>
    <n v="12553041.036323847"/>
    <s v="Normal"/>
    <s v="Issue"/>
    <x v="1"/>
  </r>
  <r>
    <x v="16"/>
    <s v="MSS"/>
    <x v="2"/>
    <x v="2"/>
    <n v="2022"/>
    <x v="21"/>
    <n v="2.0899999999999998E-2"/>
    <n v="49677.08"/>
    <s v="2382 Maple Ave, Apt 7"/>
    <s v="A5E 2R6"/>
    <s v="Aisha Clark"/>
    <n v="2186068"/>
    <d v="2022-12-27T00:00:00"/>
    <s v="Mississauga"/>
    <n v="2.0899999999999998E-2"/>
    <n v="2"/>
    <s v="Business properties and retail"/>
    <s v="Valid"/>
    <s v="Match"/>
    <s v="Valid"/>
    <s v="Duplicate"/>
    <s v="Valid"/>
    <s v="Valid"/>
    <s v="Valid"/>
    <s v="Complete"/>
    <n v="4842179.1619999995"/>
    <n v="12553041.036323847"/>
    <s v="Normal"/>
    <s v="Issue"/>
    <x v="1"/>
  </r>
  <r>
    <x v="17"/>
    <s v="HAM"/>
    <x v="3"/>
    <x v="5"/>
    <n v="2024"/>
    <x v="22"/>
    <n v="9.7999999999999997E-3"/>
    <n v="32815.47"/>
    <s v="4274 Lakeshore Rd, Apt 10"/>
    <s v="V3E 2C7"/>
    <s v="Emma Brown"/>
    <n v="3963571"/>
    <d v="2022-10-17T00:00:00"/>
    <s v="Hamilton"/>
    <m/>
    <n v="1"/>
    <m/>
    <s v="Valid"/>
    <s v="Match"/>
    <s v="Mismatch"/>
    <s v="Unique"/>
    <s v="Valid"/>
    <s v="Invalid"/>
    <s v="Valid"/>
    <s v="Complete"/>
    <n v="4842179.1619999995"/>
    <n v="12553041.036323847"/>
    <s v="Normal"/>
    <s v="Issue"/>
    <x v="5"/>
  </r>
  <r>
    <x v="18"/>
    <s v="KIN"/>
    <x v="9"/>
    <x v="4"/>
    <n v="2023"/>
    <x v="23"/>
    <n v="1.83E-2"/>
    <n v="128868.36"/>
    <s v="8351 Wellington St"/>
    <s v="B0G 5V8"/>
    <s v="Ethan Johnson"/>
    <n v="7146124"/>
    <d v="2023-06-09T00:00:00"/>
    <s v="Kingston"/>
    <n v="1.83E-2"/>
    <n v="1"/>
    <s v="Manufacturing and warehousing"/>
    <s v="Valid"/>
    <s v="Mismatch"/>
    <s v="Valid"/>
    <s v="Unique"/>
    <s v="Valid"/>
    <s v="Valid"/>
    <s v="Valid"/>
    <s v="Complete"/>
    <n v="4842179.1619999995"/>
    <n v="12553041.036323847"/>
    <s v="Normal"/>
    <s v="Issue"/>
    <x v="3"/>
  </r>
  <r>
    <x v="19"/>
    <s v="WDR"/>
    <x v="10"/>
    <x v="0"/>
    <n v="2022"/>
    <x v="24"/>
    <n v="9.7000000000000003E-3"/>
    <n v="9717.9"/>
    <s v="9218 Church St, Apt 24"/>
    <s v="K3B 8K3"/>
    <s v="Liam Anderson"/>
    <n v="1153199"/>
    <d v="2020-02-16T00:00:00"/>
    <s v="Windsor"/>
    <n v="9.7000000000000003E-3"/>
    <n v="1"/>
    <s v="Farms and rural properties"/>
    <s v="Valid"/>
    <s v="Mismatch"/>
    <s v="Valid"/>
    <s v="Unique"/>
    <s v="Valid"/>
    <s v="Valid"/>
    <s v="Valid"/>
    <s v="Complete"/>
    <n v="4842179.1619999995"/>
    <n v="12553041.036323847"/>
    <s v="Normal"/>
    <s v="Issue"/>
    <x v="3"/>
  </r>
  <r>
    <x v="20"/>
    <s v="KIN"/>
    <x v="7"/>
    <x v="2"/>
    <n v="2021"/>
    <x v="25"/>
    <n v="2.0299999999999999E-2"/>
    <n v="37305.25"/>
    <s v="4384 Victoria Rd"/>
    <s v="A4P 3B1"/>
    <s v="Aisha Thomas"/>
    <n v="2086781"/>
    <d v="2022-06-27T00:00:00"/>
    <s v="Kingston"/>
    <n v="2.0299999999999999E-2"/>
    <n v="1"/>
    <s v="Business properties and retail"/>
    <s v="Valid"/>
    <s v="Match"/>
    <s v="Mismatch"/>
    <s v="Unique"/>
    <s v="Valid"/>
    <s v="Valid"/>
    <s v="Valid"/>
    <s v="Complete"/>
    <n v="4842179.1619999995"/>
    <n v="12553041.036323847"/>
    <s v="Normal"/>
    <s v="Issue"/>
    <x v="4"/>
  </r>
  <r>
    <x v="21"/>
    <s v="OTT"/>
    <x v="5"/>
    <x v="4"/>
    <n v="2023"/>
    <x v="26"/>
    <n v="1.8100000000000002E-2"/>
    <n v="104658.2"/>
    <s v="7844 Queen St"/>
    <s v="P6Y 7Y3"/>
    <s v="David Lee"/>
    <n v="6108117"/>
    <d v="2023-12-12T00:00:00"/>
    <s v="Ottawa"/>
    <n v="1.8100000000000002E-2"/>
    <n v="1"/>
    <s v="Manufacturing and warehousing"/>
    <s v="Valid"/>
    <s v="Mismatch"/>
    <s v="Valid"/>
    <s v="Unique"/>
    <s v="Valid"/>
    <s v="Valid"/>
    <s v="Valid"/>
    <s v="Complete"/>
    <n v="4842179.1619999995"/>
    <n v="12553041.036323847"/>
    <s v="Normal"/>
    <s v="Issue"/>
    <x v="3"/>
  </r>
  <r>
    <x v="22"/>
    <s v="OSH"/>
    <x v="5"/>
    <x v="3"/>
    <n v="2021"/>
    <x v="27"/>
    <n v="1.24E-2"/>
    <n v="17095.09"/>
    <s v="4713 Wellington St, Unit 25"/>
    <s v="S5R 7R6"/>
    <s v="Ella Johnson"/>
    <n v="1556117"/>
    <d v="2022-11-25T00:00:00"/>
    <s v="Oshawa"/>
    <n v="1.24E-2"/>
    <n v="1"/>
    <s v="Single-family and multi-unit homes"/>
    <s v="Valid"/>
    <s v="Mismatch"/>
    <s v="Valid"/>
    <s v="Unique"/>
    <s v="Valid"/>
    <s v="Valid"/>
    <s v="Valid"/>
    <s v="Complete"/>
    <n v="4842179.1619999995"/>
    <n v="12553041.036323847"/>
    <s v="Normal"/>
    <s v="Issue"/>
    <x v="3"/>
  </r>
  <r>
    <x v="23"/>
    <s v="MSS"/>
    <x v="2"/>
    <x v="3"/>
    <n v="2024"/>
    <x v="28"/>
    <n v="1.29E-2"/>
    <n v="16963.419999999998"/>
    <s v="2206 Wellington St, Unit 11"/>
    <s v="C7P 1Y3"/>
    <s v="Sophia Nguyen"/>
    <n v="1461931"/>
    <d v="2021-03-22T00:00:00"/>
    <s v="Mississauga"/>
    <n v="1.29E-2"/>
    <n v="2"/>
    <s v="Single-family and multi-unit homes"/>
    <s v="Valid"/>
    <s v="Match"/>
    <s v="Valid"/>
    <s v="Duplicate"/>
    <s v="Valid"/>
    <s v="Valid"/>
    <s v="Valid"/>
    <s v="Complete"/>
    <n v="4842179.1619999995"/>
    <n v="12553041.036323847"/>
    <s v="Normal"/>
    <s v="Issue"/>
    <x v="1"/>
  </r>
  <r>
    <x v="23"/>
    <s v="BRN"/>
    <x v="6"/>
    <x v="4"/>
    <n v="2022"/>
    <x v="29"/>
    <n v="1.8599999999999998E-2"/>
    <n v="139214.68"/>
    <s v="3099 Wellington St"/>
    <s v="S6K 2R6"/>
    <s v="David Thomas"/>
    <n v="8374310"/>
    <d v="2024-10-17T00:00:00"/>
    <s v="Brampton"/>
    <n v="1.8599999999999998E-2"/>
    <n v="2"/>
    <s v="Manufacturing and warehousing"/>
    <s v="Valid"/>
    <s v="Match"/>
    <s v="Valid"/>
    <s v="Duplicate"/>
    <s v="Valid"/>
    <s v="Valid"/>
    <s v="Valid"/>
    <s v="Complete"/>
    <n v="4842179.1619999995"/>
    <n v="12553041.036323847"/>
    <s v="Normal"/>
    <s v="Issue"/>
    <x v="1"/>
  </r>
  <r>
    <x v="24"/>
    <s v="OTT"/>
    <x v="9"/>
    <x v="6"/>
    <n v="2022"/>
    <x v="30"/>
    <n v="2.01E-2"/>
    <n v="50265.38"/>
    <s v="261 Maple Ave"/>
    <s v="E7K 9J6"/>
    <s v="Lee Developments Inc."/>
    <n v="2929471"/>
    <d v="2023-04-09T00:00:00"/>
    <s v="Ottawa"/>
    <m/>
    <n v="1"/>
    <m/>
    <s v="Valid"/>
    <s v="Match"/>
    <s v="Mismatch"/>
    <s v="Unique"/>
    <s v="Valid"/>
    <s v="Invalid"/>
    <s v="Valid"/>
    <s v="Complete"/>
    <n v="4842179.1619999995"/>
    <n v="12553041.036323847"/>
    <s v="Normal"/>
    <s v="Issue"/>
    <x v="5"/>
  </r>
  <r>
    <x v="25"/>
    <s v="OSH"/>
    <x v="0"/>
    <x v="1"/>
    <n v="2024"/>
    <x v="31"/>
    <n v="1.47E-2"/>
    <n v="1262348.8600000001"/>
    <s v="3778 Wellington St"/>
    <s v="K7Y 5L7"/>
    <s v="Nguyen Investments Inc."/>
    <n v="5336452"/>
    <d v="2025-02-09T00:00:00"/>
    <s v="Oshawa"/>
    <n v="1.47E-2"/>
    <n v="1"/>
    <s v="Apartment buildings and multi-tenant residential"/>
    <s v="Valid"/>
    <s v="Match"/>
    <s v="Valid"/>
    <s v="Unique"/>
    <s v="Valid"/>
    <s v="Valid"/>
    <s v="Valid"/>
    <s v="Complete"/>
    <n v="4842179.1619999995"/>
    <n v="12553041.036323847"/>
    <s v="Outlier"/>
    <s v="Issue"/>
    <x v="6"/>
  </r>
  <r>
    <x v="26"/>
    <s v="KIN"/>
    <x v="7"/>
    <x v="2"/>
    <n v="2022"/>
    <x v="32"/>
    <n v="2.0299999999999999E-2"/>
    <n v="69734.460000000006"/>
    <s v="8892 Park Ave"/>
    <s v="X0C 0A6"/>
    <s v="Grace Brown"/>
    <n v="3941918"/>
    <d v="2019-02-07T00:00:00"/>
    <s v="Kingston"/>
    <n v="2.0299999999999999E-2"/>
    <n v="2"/>
    <s v="Business properties and retail"/>
    <s v="Valid"/>
    <s v="Match"/>
    <s v="Valid"/>
    <s v="Duplicate"/>
    <s v="Valid"/>
    <s v="Valid"/>
    <s v="Valid"/>
    <s v="Complete"/>
    <n v="4842179.1619999995"/>
    <n v="12553041.036323847"/>
    <s v="Normal"/>
    <s v="Issue"/>
    <x v="1"/>
  </r>
  <r>
    <x v="26"/>
    <s v="LON"/>
    <x v="1"/>
    <x v="0"/>
    <n v="2023"/>
    <x v="33"/>
    <n v="9.4000000000000004E-3"/>
    <n v="21385.23"/>
    <s v="9586 King St, Apt 27"/>
    <s v="P8M 4E7"/>
    <s v="James Nguyen"/>
    <n v="2306415"/>
    <d v="2021-07-21T00:00:00"/>
    <s v="London"/>
    <n v="9.4000000000000004E-3"/>
    <n v="2"/>
    <s v="Farms and rural properties"/>
    <s v="Valid"/>
    <s v="Match"/>
    <s v="Valid"/>
    <s v="Duplicate"/>
    <s v="Valid"/>
    <s v="Valid"/>
    <s v="Valid"/>
    <s v="Complete"/>
    <n v="4842179.1619999995"/>
    <n v="12553041.036323847"/>
    <s v="Normal"/>
    <s v="Issue"/>
    <x v="1"/>
  </r>
  <r>
    <x v="27"/>
    <s v="LON"/>
    <x v="1"/>
    <x v="1"/>
    <n v="2024"/>
    <x v="34"/>
    <n v="1.47E-2"/>
    <n v="84777.44"/>
    <s v="7926 Park Ave"/>
    <s v="INVALID"/>
    <s v="James Lee"/>
    <n v="7163508"/>
    <d v="2021-02-05T00:00:00"/>
    <s v="London"/>
    <n v="1.47E-2"/>
    <n v="1"/>
    <s v="Apartment buildings and multi-tenant residential"/>
    <s v="Valid"/>
    <s v="Match"/>
    <s v="Valid"/>
    <s v="Unique"/>
    <s v="Invalid"/>
    <s v="Valid"/>
    <s v="Valid"/>
    <s v="Complete"/>
    <n v="4842179.1619999995"/>
    <n v="12553041.036323847"/>
    <s v="Normal"/>
    <s v="Issue"/>
    <x v="0"/>
  </r>
  <r>
    <x v="28"/>
    <s v="MSS"/>
    <x v="2"/>
    <x v="7"/>
    <n v="2021"/>
    <x v="35"/>
    <n v="2.0899999999999998E-2"/>
    <n v="32289.41"/>
    <s v="4921 Lakeshore Rd"/>
    <s v="P4K 7J7"/>
    <s v="Fatima Smith"/>
    <n v="1903512"/>
    <d v="2022-09-22T00:00:00"/>
    <s v="Mississauga"/>
    <m/>
    <n v="1"/>
    <m/>
    <s v="Valid"/>
    <s v="Match"/>
    <s v="Mismatch"/>
    <s v="Unique"/>
    <s v="Valid"/>
    <s v="Invalid"/>
    <s v="Valid"/>
    <s v="Complete"/>
    <n v="4842179.1619999995"/>
    <n v="12553041.036323847"/>
    <s v="Normal"/>
    <s v="Issue"/>
    <x v="5"/>
  </r>
  <r>
    <x v="29"/>
    <s v="GUE"/>
    <x v="8"/>
    <x v="0"/>
    <n v="2023"/>
    <x v="36"/>
    <n v="9.4999999999999998E-3"/>
    <n v="14915.26"/>
    <s v="9748 Queen St"/>
    <s v="123456"/>
    <s v="Chloe Patel"/>
    <n v="1842727"/>
    <d v="2021-10-29T00:00:00"/>
    <s v="Guelph"/>
    <n v="9.4999999999999998E-3"/>
    <n v="1"/>
    <s v="Farms and rural properties"/>
    <s v="Valid"/>
    <s v="Match"/>
    <s v="Valid"/>
    <s v="Unique"/>
    <s v="Invalid"/>
    <s v="Valid"/>
    <s v="Valid"/>
    <s v="Complete"/>
    <n v="4842179.1619999995"/>
    <n v="12553041.036323847"/>
    <s v="Normal"/>
    <s v="Issue"/>
    <x v="0"/>
  </r>
  <r>
    <x v="30"/>
    <s v="HAM"/>
    <x v="4"/>
    <x v="0"/>
    <n v="2024"/>
    <x v="37"/>
    <n v="9.7999999999999997E-3"/>
    <n v="6625.02"/>
    <s v="9549 Wellington St"/>
    <s v="S8B 5Y9"/>
    <s v="David Brown"/>
    <n v="790360"/>
    <d v="2024-09-08T00:00:00"/>
    <s v="Hamilton"/>
    <n v="9.7999999999999997E-3"/>
    <n v="1"/>
    <s v="Farms and rural properties"/>
    <s v="Valid"/>
    <s v="Mismatch"/>
    <s v="Valid"/>
    <s v="Unique"/>
    <s v="Valid"/>
    <s v="Valid"/>
    <s v="Valid"/>
    <s v="Complete"/>
    <n v="4842179.1619999995"/>
    <n v="12553041.036323847"/>
    <s v="Normal"/>
    <s v="Issue"/>
    <x v="3"/>
  </r>
  <r>
    <x v="31"/>
    <s v="LON"/>
    <x v="1"/>
    <x v="1"/>
    <n v="2024"/>
    <x v="38"/>
    <n v="1.47E-2"/>
    <n v="81240.39"/>
    <s v="7422 Victoria Rd, Unit 26"/>
    <s v="123456"/>
    <s v="Ella Johnson"/>
    <n v="5614133"/>
    <d v="2023-05-24T00:00:00"/>
    <s v="London"/>
    <n v="1.47E-2"/>
    <n v="1"/>
    <s v="Apartment buildings and multi-tenant residential"/>
    <s v="Valid"/>
    <s v="Match"/>
    <s v="Valid"/>
    <s v="Unique"/>
    <s v="Invalid"/>
    <s v="Valid"/>
    <s v="Valid"/>
    <s v="Complete"/>
    <n v="4842179.1619999995"/>
    <n v="12553041.036323847"/>
    <s v="Normal"/>
    <s v="Issue"/>
    <x v="0"/>
  </r>
  <r>
    <x v="32"/>
    <s v="ZZZ"/>
    <x v="9"/>
    <x v="2"/>
    <n v="2024"/>
    <x v="39"/>
    <n v="2.0899999999999998E-2"/>
    <n v="63725.4"/>
    <s v="7090 Wellington St, Apt 29"/>
    <s v="J7S 6A3"/>
    <s v="David Patel"/>
    <n v="2852743"/>
    <d v="2024-01-05T00:00:00"/>
    <m/>
    <m/>
    <n v="1"/>
    <s v="Business properties and retail"/>
    <s v="Invalid"/>
    <s v="Mismatch"/>
    <s v="Mismatch"/>
    <s v="Unique"/>
    <s v="Valid"/>
    <s v="Valid"/>
    <s v="Valid"/>
    <s v="Complete"/>
    <n v="4842179.1619999995"/>
    <n v="12553041.036323847"/>
    <s v="Normal"/>
    <s v="Issue"/>
    <x v="7"/>
  </r>
  <r>
    <x v="33"/>
    <s v="T0R"/>
    <x v="10"/>
    <x v="2"/>
    <n v="2024"/>
    <x v="40"/>
    <n v="2.0400000000000001E-2"/>
    <n v="38967.730000000003"/>
    <s v="7399 Cedar Ave, Suite 1"/>
    <s v="V2J 6Y8"/>
    <s v="Liam Nguyen"/>
    <n v="2047915"/>
    <d v="2024-12-25T00:00:00"/>
    <m/>
    <m/>
    <n v="1"/>
    <s v="Business properties and retail"/>
    <s v="Invalid"/>
    <s v="Mismatch"/>
    <s v="Mismatch"/>
    <s v="Unique"/>
    <s v="Valid"/>
    <s v="Valid"/>
    <s v="Valid"/>
    <s v="Complete"/>
    <n v="4842179.1619999995"/>
    <n v="12553041.036323847"/>
    <s v="Normal"/>
    <s v="Issue"/>
    <x v="7"/>
  </r>
  <r>
    <x v="34"/>
    <s v="BRN"/>
    <x v="6"/>
    <x v="1"/>
    <n v="2023"/>
    <x v="41"/>
    <n v="1.49E-2"/>
    <n v="140993.38"/>
    <s v="8006 Victoria Rd"/>
    <s v="C7P 1Y6"/>
    <s v="Liam Jackson"/>
    <n v="9218015"/>
    <d v="2021-07-03T00:00:00"/>
    <s v="Brampton"/>
    <n v="1.49E-2"/>
    <n v="2"/>
    <s v="Apartment buildings and multi-tenant residential"/>
    <s v="Valid"/>
    <s v="Match"/>
    <s v="Valid"/>
    <s v="Duplicate"/>
    <s v="Valid"/>
    <s v="Valid"/>
    <s v="Valid"/>
    <s v="Complete"/>
    <n v="4842179.1619999995"/>
    <n v="12553041.036323847"/>
    <s v="Normal"/>
    <s v="Issue"/>
    <x v="1"/>
  </r>
  <r>
    <x v="34"/>
    <s v="TOR"/>
    <x v="10"/>
    <x v="1"/>
    <n v="2023"/>
    <x v="42"/>
    <n v="1.4800000000000001E-2"/>
    <n v="109463.06"/>
    <s v="4989 King St"/>
    <s v="X1E 3Y6"/>
    <s v="Ethan Nguyen"/>
    <n v="7300499"/>
    <d v="2023-07-04T00:00:00"/>
    <s v="Toronto"/>
    <n v="1.4800000000000001E-2"/>
    <n v="2"/>
    <s v="Apartment buildings and multi-tenant residential"/>
    <s v="Valid"/>
    <s v="Match"/>
    <s v="Valid"/>
    <s v="Duplicate"/>
    <s v="Valid"/>
    <s v="Valid"/>
    <s v="Valid"/>
    <s v="Complete"/>
    <n v="4842179.1619999995"/>
    <n v="12553041.036323847"/>
    <s v="Normal"/>
    <s v="Issue"/>
    <x v="1"/>
  </r>
  <r>
    <x v="35"/>
    <s v="HAM"/>
    <x v="3"/>
    <x v="8"/>
    <n v="2022"/>
    <x v="43"/>
    <n v="1.5100000000000001E-2"/>
    <n v="110062.24"/>
    <s v="142 Victoria Rd"/>
    <s v="S2V 1K6"/>
    <s v="Sarah Brown"/>
    <n v="7359396"/>
    <d v="2022-05-10T00:00:00"/>
    <s v="Hamilton"/>
    <m/>
    <n v="1"/>
    <m/>
    <s v="Valid"/>
    <s v="Match"/>
    <s v="Mismatch"/>
    <s v="Unique"/>
    <s v="Valid"/>
    <s v="Invalid"/>
    <s v="Valid"/>
    <s v="Complete"/>
    <n v="4842179.1619999995"/>
    <n v="12553041.036323847"/>
    <s v="Normal"/>
    <s v="Issue"/>
    <x v="5"/>
  </r>
  <r>
    <x v="36"/>
    <s v="WDR"/>
    <x v="4"/>
    <x v="3"/>
    <n v="2021"/>
    <x v="44"/>
    <n v="1.2699999999999999E-2"/>
    <n v="8524.81"/>
    <s v="8592 King St"/>
    <s v="C7T 8P0"/>
    <s v="Aisha Anderson"/>
    <n v="629798"/>
    <d v="2020-02-26T00:00:00"/>
    <s v="Windsor"/>
    <n v="1.2699999999999999E-2"/>
    <n v="1"/>
    <s v="Single-family and multi-unit homes"/>
    <s v="Valid"/>
    <s v="Match"/>
    <s v="Mismatch"/>
    <s v="Unique"/>
    <s v="Valid"/>
    <s v="Valid"/>
    <s v="Valid"/>
    <s v="Complete"/>
    <n v="4842179.1619999995"/>
    <n v="12553041.036323847"/>
    <s v="Normal"/>
    <s v="Issue"/>
    <x v="4"/>
  </r>
  <r>
    <x v="37"/>
    <s v="GUE"/>
    <x v="8"/>
    <x v="7"/>
    <n v="2022"/>
    <x v="45"/>
    <n v="1.2500000000000001E-2"/>
    <n v="12189.93"/>
    <s v="211 Maple Ave, Suite 13"/>
    <s v="G2B 8S3"/>
    <s v="Liam Clark"/>
    <n v="1123522"/>
    <d v="2022-01-16T00:00:00"/>
    <s v="Guelph"/>
    <m/>
    <n v="1"/>
    <m/>
    <s v="Valid"/>
    <s v="Match"/>
    <s v="Mismatch"/>
    <s v="Unique"/>
    <s v="Valid"/>
    <s v="Invalid"/>
    <s v="Valid"/>
    <s v="Complete"/>
    <n v="4842179.1619999995"/>
    <n v="12553041.036323847"/>
    <s v="Normal"/>
    <s v="Issue"/>
    <x v="5"/>
  </r>
  <r>
    <x v="38"/>
    <s v="X99"/>
    <x v="9"/>
    <x v="1"/>
    <n v="2023"/>
    <x v="46"/>
    <n v="1.44E-2"/>
    <n v="48798.94"/>
    <s v="2948 Maple Ave"/>
    <s v="B6C 7M4"/>
    <s v="Ella Martin"/>
    <n v="3059386"/>
    <d v="2021-02-14T00:00:00"/>
    <m/>
    <m/>
    <n v="1"/>
    <s v="Apartment buildings and multi-tenant residential"/>
    <s v="Invalid"/>
    <s v="Mismatch"/>
    <s v="Mismatch"/>
    <s v="Unique"/>
    <s v="Valid"/>
    <s v="Valid"/>
    <s v="Valid"/>
    <s v="Complete"/>
    <n v="4842179.1619999995"/>
    <n v="12553041.036323847"/>
    <s v="Normal"/>
    <s v="Issue"/>
    <x v="7"/>
  </r>
  <r>
    <x v="39"/>
    <s v="HAM"/>
    <x v="3"/>
    <x v="3"/>
    <n v="2022"/>
    <x v="47"/>
    <n v="1.2800000000000001E-2"/>
    <n v="11364.07"/>
    <s v="9032 Lakeshore Rd, Suite 13"/>
    <s v="INVALID"/>
    <s v="Thomas Developments Inc."/>
    <n v="948092"/>
    <d v="2024-06-08T00:00:00"/>
    <s v="Hamilton"/>
    <n v="1.2800000000000001E-2"/>
    <n v="1"/>
    <s v="Single-family and multi-unit homes"/>
    <s v="Valid"/>
    <s v="Match"/>
    <s v="Valid"/>
    <s v="Unique"/>
    <s v="Invalid"/>
    <s v="Valid"/>
    <s v="Valid"/>
    <s v="Complete"/>
    <n v="4842179.1619999995"/>
    <n v="12553041.036323847"/>
    <s v="Normal"/>
    <s v="Issue"/>
    <x v="0"/>
  </r>
  <r>
    <x v="40"/>
    <s v="OTT"/>
    <x v="9"/>
    <x v="3"/>
    <n v="2021"/>
    <x v="48"/>
    <n v="1.21E-2"/>
    <n v="8456.36"/>
    <s v="6793 Lakeshore Rd"/>
    <s v="P8R 1V9"/>
    <s v="Grace Johnson"/>
    <n v="732378"/>
    <d v="2019-05-17T00:00:00"/>
    <s v="Ottawa"/>
    <n v="1.21E-2"/>
    <n v="1"/>
    <s v="Single-family and multi-unit homes"/>
    <s v="Valid"/>
    <s v="Match"/>
    <s v="Mismatch"/>
    <s v="Unique"/>
    <s v="Valid"/>
    <s v="Valid"/>
    <s v="Valid"/>
    <s v="Complete"/>
    <n v="4842179.1619999995"/>
    <n v="12553041.036323847"/>
    <s v="Normal"/>
    <s v="Issue"/>
    <x v="4"/>
  </r>
  <r>
    <x v="41"/>
    <s v="WDR"/>
    <x v="4"/>
    <x v="1"/>
    <n v="2023"/>
    <x v="49"/>
    <n v="1.4999999999999999E-2"/>
    <n v="189011.54"/>
    <s v="7965 Cedar Ave"/>
    <s v="B2L 6G9"/>
    <s v="Sophia Smith"/>
    <n v="13086245"/>
    <d v="2024-12-05T00:00:00"/>
    <s v="Windsor"/>
    <n v="1.4999999999999999E-2"/>
    <n v="2"/>
    <s v="Apartment buildings and multi-tenant residential"/>
    <s v="Valid"/>
    <s v="Match"/>
    <s v="Valid"/>
    <s v="Duplicate"/>
    <s v="Valid"/>
    <s v="Valid"/>
    <s v="Valid"/>
    <s v="Complete"/>
    <n v="4842179.1619999995"/>
    <n v="12553041.036323847"/>
    <s v="Normal"/>
    <s v="Issue"/>
    <x v="1"/>
  </r>
  <r>
    <x v="41"/>
    <s v="HAM"/>
    <x v="3"/>
    <x v="3"/>
    <n v="2023"/>
    <x v="50"/>
    <n v="1.2800000000000001E-2"/>
    <n v="8646.6200000000008"/>
    <s v="6989 King St, Unit 1"/>
    <s v="G2N 5T9"/>
    <s v="David Anderson"/>
    <n v="800648"/>
    <d v="2021-01-09T00:00:00"/>
    <s v="Hamilton"/>
    <n v="1.2800000000000001E-2"/>
    <n v="2"/>
    <s v="Single-family and multi-unit homes"/>
    <s v="Valid"/>
    <s v="Match"/>
    <s v="Valid"/>
    <s v="Duplicate"/>
    <s v="Valid"/>
    <s v="Valid"/>
    <s v="Valid"/>
    <s v="Complete"/>
    <n v="4842179.1619999995"/>
    <n v="12553041.036323847"/>
    <s v="Normal"/>
    <s v="Issue"/>
    <x v="1"/>
  </r>
  <r>
    <x v="42"/>
    <s v="WDR"/>
    <x v="4"/>
    <x v="4"/>
    <n v="2024"/>
    <x v="51"/>
    <n v="1.8700000000000001E-2"/>
    <n v="126686.63"/>
    <s v="5545 Wellington St"/>
    <s v="G5V 5J2"/>
    <s v="Clark Investments Inc."/>
    <n v="6142565"/>
    <d v="2022-04-05T00:00:00"/>
    <s v="Windsor"/>
    <n v="1.8700000000000001E-2"/>
    <n v="1"/>
    <s v="Manufacturing and warehousing"/>
    <s v="Valid"/>
    <s v="Match"/>
    <s v="Mismatch"/>
    <s v="Unique"/>
    <s v="Valid"/>
    <s v="Valid"/>
    <s v="Valid"/>
    <s v="Complete"/>
    <n v="4842179.1619999995"/>
    <n v="12553041.036323847"/>
    <s v="Outlier"/>
    <s v="Issue"/>
    <x v="8"/>
  </r>
  <r>
    <x v="43"/>
    <s v="TOR"/>
    <x v="4"/>
    <x v="3"/>
    <n v="2024"/>
    <x v="52"/>
    <n v="1.2500000000000001E-2"/>
    <n v="9145.19"/>
    <s v="4150 Lakeshore Rd"/>
    <s v="J0M 6E8"/>
    <s v="Michael Thomas"/>
    <n v="871155"/>
    <d v="2021-08-03T00:00:00"/>
    <s v="Toronto"/>
    <n v="1.2500000000000001E-2"/>
    <n v="1"/>
    <s v="Single-family and multi-unit homes"/>
    <s v="Valid"/>
    <s v="Mismatch"/>
    <s v="Valid"/>
    <s v="Unique"/>
    <s v="Valid"/>
    <s v="Valid"/>
    <s v="Valid"/>
    <s v="Complete"/>
    <n v="4842179.1619999995"/>
    <n v="12553041.036323847"/>
    <s v="Normal"/>
    <s v="Issue"/>
    <x v="3"/>
  </r>
  <r>
    <x v="44"/>
    <s v="OTT"/>
    <x v="9"/>
    <x v="5"/>
    <n v="2024"/>
    <x v="53"/>
    <n v="9.1000000000000004E-3"/>
    <n v="34031.519999999997"/>
    <s v="6329 Lakeshore Rd"/>
    <s v="H1G 0H1"/>
    <s v="Chloe White"/>
    <n v="4110447"/>
    <d v="2023-06-17T00:00:00"/>
    <s v="Ottawa"/>
    <m/>
    <n v="1"/>
    <m/>
    <s v="Valid"/>
    <s v="Match"/>
    <s v="Mismatch"/>
    <s v="Unique"/>
    <s v="Valid"/>
    <s v="Invalid"/>
    <s v="Valid"/>
    <s v="Complete"/>
    <n v="4842179.1619999995"/>
    <n v="12553041.036323847"/>
    <s v="Normal"/>
    <s v="Issue"/>
    <x v="5"/>
  </r>
  <r>
    <x v="45"/>
    <s v="LON"/>
    <x v="4"/>
    <x v="0"/>
    <n v="2023"/>
    <x v="54"/>
    <n v="9.4000000000000004E-3"/>
    <n v="12927.77"/>
    <s v="3662 Lakeshore Rd"/>
    <s v="V5T 1E3"/>
    <s v="Noah Jackson"/>
    <n v="1542780"/>
    <d v="2024-06-26T00:00:00"/>
    <s v="London"/>
    <n v="9.4000000000000004E-3"/>
    <n v="1"/>
    <s v="Farms and rural properties"/>
    <s v="Valid"/>
    <s v="Mismatch"/>
    <s v="Valid"/>
    <s v="Unique"/>
    <s v="Valid"/>
    <s v="Valid"/>
    <s v="Valid"/>
    <s v="Complete"/>
    <n v="4842179.1619999995"/>
    <n v="12553041.036323847"/>
    <s v="Normal"/>
    <s v="Issue"/>
    <x v="3"/>
  </r>
  <r>
    <x v="46"/>
    <s v="OSH"/>
    <x v="2"/>
    <x v="0"/>
    <n v="2024"/>
    <x v="55"/>
    <n v="9.4000000000000004E-3"/>
    <n v="21289.79"/>
    <s v="6930 Main St"/>
    <s v="A6G 0B3"/>
    <s v="Aisha Taylor"/>
    <n v="2580111"/>
    <d v="2021-10-27T00:00:00"/>
    <s v="Oshawa"/>
    <n v="9.4000000000000004E-3"/>
    <n v="1"/>
    <s v="Farms and rural properties"/>
    <s v="Valid"/>
    <s v="Mismatch"/>
    <s v="Valid"/>
    <s v="Unique"/>
    <s v="Valid"/>
    <s v="Valid"/>
    <s v="Valid"/>
    <s v="Complete"/>
    <n v="4842179.1619999995"/>
    <n v="12553041.036323847"/>
    <s v="Normal"/>
    <s v="Issue"/>
    <x v="3"/>
  </r>
  <r>
    <x v="47"/>
    <s v="OTT"/>
    <x v="10"/>
    <x v="4"/>
    <n v="2022"/>
    <x v="56"/>
    <n v="1.8100000000000002E-2"/>
    <n v="155294.72"/>
    <s v="5434 Victoria Rd"/>
    <s v="X7Y 0E5"/>
    <s v="Grace Smith"/>
    <n v="9771496"/>
    <d v="2022-08-07T00:00:00"/>
    <s v="Ottawa"/>
    <n v="1.8100000000000002E-2"/>
    <n v="1"/>
    <s v="Manufacturing and warehousing"/>
    <s v="Valid"/>
    <s v="Mismatch"/>
    <s v="Valid"/>
    <s v="Unique"/>
    <s v="Valid"/>
    <s v="Valid"/>
    <s v="Valid"/>
    <s v="Complete"/>
    <n v="4842179.1619999995"/>
    <n v="12553041.036323847"/>
    <s v="Normal"/>
    <s v="Issue"/>
    <x v="3"/>
  </r>
  <r>
    <x v="48"/>
    <s v="BRN"/>
    <x v="6"/>
    <x v="3"/>
    <n v="2024"/>
    <x v="57"/>
    <n v="1.26E-2"/>
    <n v="7563.11"/>
    <s v="8478 Victoria Rd"/>
    <s v="X7V 0M3"/>
    <s v="David Brown"/>
    <n v="582997"/>
    <d v="2024-01-07T00:00:00"/>
    <s v="Brampton"/>
    <n v="1.26E-2"/>
    <n v="1"/>
    <s v="Single-family and multi-unit homes"/>
    <s v="Valid"/>
    <s v="Match"/>
    <s v="Mismatch"/>
    <s v="Unique"/>
    <s v="Valid"/>
    <s v="Valid"/>
    <s v="Valid"/>
    <s v="Complete"/>
    <n v="4842179.1619999995"/>
    <n v="12553041.036323847"/>
    <s v="Normal"/>
    <s v="Issue"/>
    <x v="4"/>
  </r>
  <r>
    <x v="49"/>
    <s v="WDR"/>
    <x v="4"/>
    <x v="6"/>
    <n v="2023"/>
    <x v="58"/>
    <n v="2.07E-2"/>
    <n v="67170.98"/>
    <s v="192 Elm St"/>
    <s v="G1B 0R8"/>
    <s v="David Taylor"/>
    <n v="3159043"/>
    <d v="2024-02-27T00:00:00"/>
    <s v="Windsor"/>
    <m/>
    <n v="1"/>
    <m/>
    <s v="Valid"/>
    <s v="Match"/>
    <s v="Mismatch"/>
    <s v="Unique"/>
    <s v="Valid"/>
    <s v="Invalid"/>
    <s v="Valid"/>
    <s v="Complete"/>
    <n v="4842179.1619999995"/>
    <n v="12553041.036323847"/>
    <s v="Normal"/>
    <s v="Issue"/>
    <x v="5"/>
  </r>
  <r>
    <x v="50"/>
    <s v="BRN"/>
    <x v="6"/>
    <x v="1"/>
    <n v="2024"/>
    <x v="59"/>
    <n v="1.49E-2"/>
    <n v="85820.84"/>
    <s v="8690 Wellington St, Suite 26"/>
    <s v="R5E 6G4"/>
    <s v="Grace Clark"/>
    <n v="6891423"/>
    <d v="2022-08-04T00:00:00"/>
    <s v="Brampton"/>
    <n v="1.49E-2"/>
    <n v="1"/>
    <s v="Apartment buildings and multi-tenant residential"/>
    <s v="Valid"/>
    <s v="Match"/>
    <s v="Mismatch"/>
    <s v="Unique"/>
    <s v="Valid"/>
    <s v="Valid"/>
    <s v="Valid"/>
    <s v="Complete"/>
    <n v="4842179.1619999995"/>
    <n v="12553041.036323847"/>
    <s v="Normal"/>
    <s v="Issue"/>
    <x v="4"/>
  </r>
  <r>
    <x v="51"/>
    <s v="WDR"/>
    <x v="4"/>
    <x v="7"/>
    <n v="2024"/>
    <x v="60"/>
    <n v="1.4999999999999999E-2"/>
    <n v="117080.44"/>
    <s v="6521 Maple Ave"/>
    <s v="Y7H 5Y8"/>
    <s v="Fatima Patel"/>
    <n v="7965566"/>
    <d v="2024-12-15T00:00:00"/>
    <s v="Windsor"/>
    <m/>
    <n v="1"/>
    <m/>
    <s v="Valid"/>
    <s v="Match"/>
    <s v="Mismatch"/>
    <s v="Unique"/>
    <s v="Valid"/>
    <s v="Invalid"/>
    <s v="Valid"/>
    <s v="Complete"/>
    <n v="4842179.1619999995"/>
    <n v="12553041.036323847"/>
    <s v="Normal"/>
    <s v="Issue"/>
    <x v="5"/>
  </r>
  <r>
    <x v="52"/>
    <s v="BRN"/>
    <x v="6"/>
    <x v="2"/>
    <n v="2021"/>
    <x v="61"/>
    <n v="2.06E-2"/>
    <n v="73179.75"/>
    <s v="2660 King St, Suite 26"/>
    <s v="N8B 2R0"/>
    <s v="Jackson Properties Inc."/>
    <n v="3796546"/>
    <d v="2023-11-19T00:00:00"/>
    <s v="Brampton"/>
    <n v="2.06E-2"/>
    <n v="1"/>
    <s v="Business properties and retail"/>
    <s v="Valid"/>
    <s v="Match"/>
    <s v="Mismatch"/>
    <s v="Unique"/>
    <s v="Valid"/>
    <s v="Valid"/>
    <s v="Valid"/>
    <s v="Complete"/>
    <n v="4842179.1619999995"/>
    <n v="12553041.036323847"/>
    <s v="Normal"/>
    <s v="Issue"/>
    <x v="4"/>
  </r>
  <r>
    <x v="53"/>
    <s v="OTT"/>
    <x v="9"/>
    <x v="3"/>
    <n v="2023"/>
    <x v="62"/>
    <n v="1.21E-2"/>
    <n v="7134.23"/>
    <s v="628 Wellington St"/>
    <s v="R9X 4B2"/>
    <s v="Emma Smith"/>
    <n v="565853"/>
    <d v="2023-09-07T00:00:00"/>
    <s v="Ottawa"/>
    <n v="1.21E-2"/>
    <n v="1"/>
    <s v="Single-family and multi-unit homes"/>
    <s v="Valid"/>
    <s v="Match"/>
    <s v="Mismatch"/>
    <s v="Unique"/>
    <s v="Valid"/>
    <s v="Valid"/>
    <s v="Valid"/>
    <s v="Complete"/>
    <n v="4842179.1619999995"/>
    <n v="12553041.036323847"/>
    <s v="Normal"/>
    <s v="Issue"/>
    <x v="4"/>
  </r>
  <r>
    <x v="54"/>
    <s v="KIN"/>
    <x v="7"/>
    <x v="3"/>
    <n v="2022"/>
    <x v="63"/>
    <n v="1.23E-2"/>
    <n v="9277.14"/>
    <s v="9409 Church St, Apt 22"/>
    <s v="J7J 3K4"/>
    <s v="Daniel Jackson"/>
    <n v="744731"/>
    <d v="2022-12-29T00:00:00"/>
    <s v="Kingston"/>
    <n v="1.23E-2"/>
    <n v="1"/>
    <s v="Single-family and multi-unit homes"/>
    <s v="Valid"/>
    <s v="Match"/>
    <s v="Mismatch"/>
    <s v="Unique"/>
    <s v="Valid"/>
    <s v="Valid"/>
    <s v="Valid"/>
    <s v="Complete"/>
    <n v="4842179.1619999995"/>
    <n v="12553041.036323847"/>
    <s v="Normal"/>
    <s v="Issue"/>
    <x v="4"/>
  </r>
  <r>
    <x v="55"/>
    <s v="OTT"/>
    <x v="6"/>
    <x v="4"/>
    <n v="2023"/>
    <x v="64"/>
    <n v="1.8100000000000002E-2"/>
    <n v="104388.78"/>
    <s v="8997 Church St, Suite 20"/>
    <s v="N5H 7S3"/>
    <s v="Noah Anderson"/>
    <n v="6915117"/>
    <d v="2021-07-26T00:00:00"/>
    <s v="Ottawa"/>
    <n v="1.8100000000000002E-2"/>
    <n v="1"/>
    <s v="Manufacturing and warehousing"/>
    <s v="Valid"/>
    <s v="Mismatch"/>
    <s v="Valid"/>
    <s v="Unique"/>
    <s v="Valid"/>
    <s v="Valid"/>
    <s v="Valid"/>
    <s v="Complete"/>
    <n v="4842179.1619999995"/>
    <n v="12553041.036323847"/>
    <s v="Normal"/>
    <s v="Issue"/>
    <x v="3"/>
  </r>
  <r>
    <x v="56"/>
    <s v="TOR"/>
    <x v="10"/>
    <x v="8"/>
    <n v="2024"/>
    <x v="65"/>
    <n v="1.2500000000000001E-2"/>
    <n v="9860.33"/>
    <s v="4310 Cedar Ave, Apt 30"/>
    <s v="R4K 3M7"/>
    <s v="Michael Lee"/>
    <n v="941449"/>
    <d v="2021-02-28T00:00:00"/>
    <s v="Toronto"/>
    <m/>
    <n v="1"/>
    <m/>
    <s v="Valid"/>
    <s v="Match"/>
    <s v="Mismatch"/>
    <s v="Unique"/>
    <s v="Valid"/>
    <s v="Invalid"/>
    <s v="Valid"/>
    <s v="Complete"/>
    <n v="4842179.1619999995"/>
    <n v="12553041.036323847"/>
    <s v="Normal"/>
    <s v="Issue"/>
    <x v="5"/>
  </r>
  <r>
    <x v="57"/>
    <s v="MSS"/>
    <x v="2"/>
    <x v="1"/>
    <n v="2023"/>
    <x v="66"/>
    <n v="1.52E-2"/>
    <n v="2057761.83"/>
    <s v="9294 Queen St"/>
    <s v="N7L 9Y2"/>
    <s v="Michael Martin"/>
    <n v="7577988"/>
    <d v="2021-06-23T00:00:00"/>
    <s v="Mississauga"/>
    <n v="1.52E-2"/>
    <n v="1"/>
    <s v="Apartment buildings and multi-tenant residential"/>
    <s v="Valid"/>
    <s v="Match"/>
    <s v="Valid"/>
    <s v="Unique"/>
    <s v="Valid"/>
    <s v="Valid"/>
    <s v="Valid"/>
    <s v="Complete"/>
    <n v="4842179.1619999995"/>
    <n v="12553041.036323847"/>
    <s v="Outlier"/>
    <s v="Issue"/>
    <x v="6"/>
  </r>
  <r>
    <x v="58"/>
    <s v="ABC"/>
    <x v="10"/>
    <x v="1"/>
    <n v="2023"/>
    <x v="67"/>
    <n v="1.5100000000000001E-2"/>
    <n v="79773.070000000007"/>
    <s v="1819 King St"/>
    <s v="C0G 2B3"/>
    <s v="Daniel Brown"/>
    <n v="4813518"/>
    <d v="2023-08-07T00:00:00"/>
    <m/>
    <m/>
    <n v="1"/>
    <s v="Apartment buildings and multi-tenant residential"/>
    <s v="Invalid"/>
    <s v="Mismatch"/>
    <s v="Mismatch"/>
    <s v="Unique"/>
    <s v="Valid"/>
    <s v="Valid"/>
    <s v="Valid"/>
    <s v="Complete"/>
    <n v="4842179.1619999995"/>
    <n v="12553041.036323847"/>
    <s v="Normal"/>
    <s v="Issue"/>
    <x v="7"/>
  </r>
  <r>
    <x v="59"/>
    <s v="WDR"/>
    <x v="4"/>
    <x v="1"/>
    <n v="2021"/>
    <x v="68"/>
    <n v="1.4999999999999999E-2"/>
    <n v="109026.9"/>
    <s v="4930 Maple Ave, Suite 1"/>
    <s v="A1 1A1"/>
    <s v="Noah Johnson"/>
    <n v="6893719"/>
    <d v="2023-02-12T00:00:00"/>
    <s v="Windsor"/>
    <n v="1.4999999999999999E-2"/>
    <n v="1"/>
    <s v="Apartment buildings and multi-tenant residential"/>
    <s v="Valid"/>
    <s v="Match"/>
    <s v="Valid"/>
    <s v="Unique"/>
    <s v="Invalid"/>
    <s v="Valid"/>
    <s v="Valid"/>
    <s v="Complete"/>
    <n v="4842179.1619999995"/>
    <n v="12553041.036323847"/>
    <s v="Normal"/>
    <s v="Issue"/>
    <x v="0"/>
  </r>
  <r>
    <x v="60"/>
    <s v="GUE"/>
    <x v="5"/>
    <x v="2"/>
    <n v="2024"/>
    <x v="69"/>
    <n v="2.0500000000000001E-2"/>
    <n v="20359.8"/>
    <s v="6134 Queen St"/>
    <s v="C1B 3G4"/>
    <s v="Sarah Taylor"/>
    <n v="1050289"/>
    <d v="2021-02-16T00:00:00"/>
    <s v="Guelph"/>
    <n v="2.0500000000000001E-2"/>
    <n v="1"/>
    <s v="Business properties and retail"/>
    <s v="Valid"/>
    <s v="Mismatch"/>
    <s v="Valid"/>
    <s v="Unique"/>
    <s v="Valid"/>
    <s v="Valid"/>
    <s v="Valid"/>
    <s v="Complete"/>
    <n v="4842179.1619999995"/>
    <n v="12553041.036323847"/>
    <s v="Normal"/>
    <s v="Issue"/>
    <x v="3"/>
  </r>
  <r>
    <x v="61"/>
    <s v="TOR"/>
    <x v="10"/>
    <x v="0"/>
    <n v="2021"/>
    <x v="70"/>
    <n v="9.4999999999999998E-3"/>
    <n v="6181.37"/>
    <s v="5911 King St, Apt 13"/>
    <s v="K6X 1N7"/>
    <s v="Lee Holdings Inc."/>
    <n v="628058"/>
    <d v="2027-09-10T00:00:00"/>
    <s v="Toronto"/>
    <n v="9.4999999999999998E-3"/>
    <n v="1"/>
    <s v="Farms and rural properties"/>
    <s v="Valid"/>
    <s v="Match"/>
    <s v="Valid"/>
    <s v="Unique"/>
    <s v="Valid"/>
    <s v="Valid"/>
    <s v="Invalid"/>
    <s v="Complete"/>
    <n v="4842179.1619999995"/>
    <n v="12553041.036323847"/>
    <s v="Normal"/>
    <s v="Issue"/>
    <x v="2"/>
  </r>
  <r>
    <x v="62"/>
    <s v="GUE"/>
    <x v="8"/>
    <x v="2"/>
    <n v="2024"/>
    <x v="71"/>
    <n v="2.0500000000000001E-2"/>
    <n v="56482.87"/>
    <s v="2809 Victoria Rd"/>
    <s v="G2G 2B6"/>
    <s v="Emma Taylor"/>
    <n v="3075661"/>
    <d v="2021-08-29T00:00:00"/>
    <s v="Guelph"/>
    <n v="2.0500000000000001E-2"/>
    <n v="1"/>
    <s v="Business properties and retail"/>
    <s v="Valid"/>
    <s v="Match"/>
    <s v="Mismatch"/>
    <s v="Unique"/>
    <s v="Valid"/>
    <s v="Valid"/>
    <s v="Valid"/>
    <s v="Complete"/>
    <n v="4842179.1619999995"/>
    <n v="12553041.036323847"/>
    <s v="Normal"/>
    <s v="Issue"/>
    <x v="4"/>
  </r>
  <r>
    <x v="63"/>
    <s v="HAM"/>
    <x v="3"/>
    <x v="4"/>
    <n v="2022"/>
    <x v="72"/>
    <n v="1.8800000000000001E-2"/>
    <n v="191029.15"/>
    <s v="597 King St"/>
    <s v="N5R 1S8"/>
    <s v="Chloe Johnson"/>
    <n v="9578975"/>
    <d v="2022-01-29T00:00:00"/>
    <s v="Hamilton"/>
    <n v="1.8800000000000001E-2"/>
    <n v="2"/>
    <s v="Manufacturing and warehousing"/>
    <s v="Valid"/>
    <s v="Match"/>
    <s v="Valid"/>
    <s v="Duplicate"/>
    <s v="Valid"/>
    <s v="Valid"/>
    <s v="Valid"/>
    <s v="Complete"/>
    <n v="4842179.1619999995"/>
    <n v="12553041.036323847"/>
    <s v="Normal"/>
    <s v="Issue"/>
    <x v="1"/>
  </r>
  <r>
    <x v="63"/>
    <s v="OTT"/>
    <x v="9"/>
    <x v="0"/>
    <n v="2022"/>
    <x v="73"/>
    <n v="9.1000000000000004E-3"/>
    <n v="33716.769999999997"/>
    <s v="5475 Elm St"/>
    <s v="C9T 1T9"/>
    <s v="Mary Clark"/>
    <n v="3377866"/>
    <d v="2022-07-07T00:00:00"/>
    <s v="Ottawa"/>
    <n v="9.1000000000000004E-3"/>
    <n v="2"/>
    <s v="Farms and rural properties"/>
    <s v="Valid"/>
    <s v="Match"/>
    <s v="Valid"/>
    <s v="Duplicate"/>
    <s v="Valid"/>
    <s v="Valid"/>
    <s v="Valid"/>
    <s v="Complete"/>
    <n v="4842179.1619999995"/>
    <n v="12553041.036323847"/>
    <s v="Normal"/>
    <s v="Issue"/>
    <x v="1"/>
  </r>
  <r>
    <x v="64"/>
    <s v="KIN"/>
    <x v="7"/>
    <x v="1"/>
    <n v="2024"/>
    <x v="74"/>
    <n v="1.46E-2"/>
    <n v="107266.51"/>
    <s v="963 King St"/>
    <s v="123456"/>
    <s v="Olivia Taylor"/>
    <n v="7963340"/>
    <d v="2024-06-30T00:00:00"/>
    <s v="Kingston"/>
    <n v="1.46E-2"/>
    <n v="1"/>
    <s v="Apartment buildings and multi-tenant residential"/>
    <s v="Valid"/>
    <s v="Match"/>
    <s v="Valid"/>
    <s v="Unique"/>
    <s v="Invalid"/>
    <s v="Valid"/>
    <s v="Valid"/>
    <s v="Complete"/>
    <n v="4842179.1619999995"/>
    <n v="12553041.036323847"/>
    <s v="Normal"/>
    <s v="Issue"/>
    <x v="0"/>
  </r>
  <r>
    <x v="65"/>
    <s v="TOR"/>
    <x v="10"/>
    <x v="1"/>
    <n v="2023"/>
    <x v="75"/>
    <n v="1.4800000000000001E-2"/>
    <n v="115646.58"/>
    <s v="9106 Elm St, Apt 22"/>
    <s v="N5C 2L0"/>
    <s v="Sophia Nguyen"/>
    <n v="8487863"/>
    <d v="2020-12-05T00:00:00"/>
    <s v="Toronto"/>
    <n v="1.4800000000000001E-2"/>
    <n v="1"/>
    <s v="Apartment buildings and multi-tenant residential"/>
    <s v="Valid"/>
    <s v="Match"/>
    <s v="Mismatch"/>
    <s v="Unique"/>
    <s v="Valid"/>
    <s v="Valid"/>
    <s v="Valid"/>
    <s v="Complete"/>
    <n v="4842179.1619999995"/>
    <n v="12553041.036323847"/>
    <s v="Normal"/>
    <s v="Issue"/>
    <x v="4"/>
  </r>
  <r>
    <x v="66"/>
    <s v="X99"/>
    <x v="9"/>
    <x v="4"/>
    <n v="2021"/>
    <x v="76"/>
    <n v="1.8100000000000002E-2"/>
    <n v="131741.79"/>
    <s v="8300 Main St"/>
    <s v="X2J 5V8"/>
    <s v="Olivia Johnson"/>
    <n v="8510945"/>
    <d v="2020-02-07T00:00:00"/>
    <m/>
    <m/>
    <n v="1"/>
    <s v="Manufacturing and warehousing"/>
    <s v="Invalid"/>
    <s v="Mismatch"/>
    <s v="Mismatch"/>
    <s v="Unique"/>
    <s v="Valid"/>
    <s v="Valid"/>
    <s v="Valid"/>
    <s v="Complete"/>
    <n v="4842179.1619999995"/>
    <n v="12553041.036323847"/>
    <s v="Normal"/>
    <s v="Issue"/>
    <x v="7"/>
  </r>
  <r>
    <x v="67"/>
    <s v="LON"/>
    <x v="1"/>
    <x v="4"/>
    <n v="2022"/>
    <x v="77"/>
    <n v="1.84E-2"/>
    <n v="54996.57"/>
    <s v="5238 Lakeshore Rd"/>
    <s v="M5V2T6"/>
    <s v="Lee Group Inc."/>
    <n v="2797148"/>
    <d v="2025-01-31T00:00:00"/>
    <s v="London"/>
    <n v="1.84E-2"/>
    <n v="1"/>
    <s v="Manufacturing and warehousing"/>
    <s v="Valid"/>
    <s v="Match"/>
    <s v="Valid"/>
    <s v="Unique"/>
    <s v="Invalid"/>
    <s v="Valid"/>
    <s v="Valid"/>
    <s v="Complete"/>
    <n v="4842179.1619999995"/>
    <n v="12553041.036323847"/>
    <s v="Normal"/>
    <s v="Issue"/>
    <x v="0"/>
  </r>
  <r>
    <x v="68"/>
    <s v="KIN"/>
    <x v="7"/>
    <x v="1"/>
    <n v="2022"/>
    <x v="78"/>
    <n v="1.46E-2"/>
    <n v="104558.56"/>
    <s v="1762 Victoria Rd"/>
    <s v="M5V2T6"/>
    <s v="Grace Lee"/>
    <n v="6843981"/>
    <d v="2024-05-29T00:00:00"/>
    <s v="Kingston"/>
    <n v="1.46E-2"/>
    <n v="1"/>
    <s v="Apartment buildings and multi-tenant residential"/>
    <s v="Valid"/>
    <s v="Match"/>
    <s v="Valid"/>
    <s v="Unique"/>
    <s v="Invalid"/>
    <s v="Valid"/>
    <s v="Valid"/>
    <s v="Complete"/>
    <n v="4842179.1619999995"/>
    <n v="12553041.036323847"/>
    <s v="Normal"/>
    <s v="Issue"/>
    <x v="0"/>
  </r>
  <r>
    <x v="69"/>
    <s v="TOR"/>
    <x v="2"/>
    <x v="2"/>
    <n v="2022"/>
    <x v="79"/>
    <n v="2.0500000000000001E-2"/>
    <n v="49468.02"/>
    <s v="9478 Lakeshore Rd, Apt 29"/>
    <s v="N4M 6P1"/>
    <s v="Ethan Thomas"/>
    <n v="2887660"/>
    <d v="2022-04-19T00:00:00"/>
    <s v="Toronto"/>
    <n v="2.0500000000000001E-2"/>
    <n v="1"/>
    <s v="Business properties and retail"/>
    <s v="Valid"/>
    <s v="Mismatch"/>
    <s v="Valid"/>
    <s v="Unique"/>
    <s v="Valid"/>
    <s v="Valid"/>
    <s v="Valid"/>
    <s v="Complete"/>
    <n v="4842179.1619999995"/>
    <n v="12553041.036323847"/>
    <s v="Normal"/>
    <s v="Issue"/>
    <x v="3"/>
  </r>
  <r>
    <x v="70"/>
    <s v="OSH"/>
    <x v="0"/>
    <x v="1"/>
    <n v="2021"/>
    <x v="80"/>
    <n v="1.47E-2"/>
    <n v="67022.84"/>
    <s v="1289 Park Ave"/>
    <s v="M9B 5Y0"/>
    <s v="Ethan Clark"/>
    <n v="4870331"/>
    <d v="2022-09-19T00:00:00"/>
    <s v="Oshawa"/>
    <n v="1.47E-2"/>
    <n v="1"/>
    <s v="Apartment buildings and multi-tenant residential"/>
    <s v="Valid"/>
    <s v="Match"/>
    <s v="Mismatch"/>
    <s v="Unique"/>
    <s v="Valid"/>
    <s v="Valid"/>
    <s v="Valid"/>
    <s v="Complete"/>
    <n v="4842179.1619999995"/>
    <n v="12553041.036323847"/>
    <s v="Normal"/>
    <s v="Issue"/>
    <x v="4"/>
  </r>
  <r>
    <x v="71"/>
    <s v="GUE"/>
    <x v="8"/>
    <x v="2"/>
    <n v="2023"/>
    <x v="81"/>
    <n v="2.0500000000000001E-2"/>
    <n v="66459.56"/>
    <s v="8982 Main St"/>
    <s v="C0S 1X1"/>
    <s v="Noah Williams"/>
    <n v="3746290"/>
    <d v="2021-05-30T00:00:00"/>
    <s v="Guelph"/>
    <n v="2.0500000000000001E-2"/>
    <n v="1"/>
    <s v="Business properties and retail"/>
    <s v="Valid"/>
    <s v="Match"/>
    <s v="Mismatch"/>
    <s v="Unique"/>
    <s v="Valid"/>
    <s v="Valid"/>
    <s v="Valid"/>
    <s v="Complete"/>
    <n v="4842179.1619999995"/>
    <n v="12553041.036323847"/>
    <s v="Normal"/>
    <s v="Issue"/>
    <x v="4"/>
  </r>
  <r>
    <x v="72"/>
    <s v="TOR"/>
    <x v="10"/>
    <x v="0"/>
    <n v="2022"/>
    <x v="82"/>
    <n v="9.4999999999999998E-3"/>
    <n v="20580.599999999999"/>
    <s v="6407 Church St, Suite 29"/>
    <s v="R9A 8V7"/>
    <s v="David Lee"/>
    <n v="2146750"/>
    <d v="2023-04-24T00:00:00"/>
    <s v="Toronto"/>
    <n v="9.4999999999999998E-3"/>
    <n v="1"/>
    <s v="Farms and rural properties"/>
    <s v="Valid"/>
    <s v="Match"/>
    <s v="Mismatch"/>
    <s v="Unique"/>
    <s v="Valid"/>
    <s v="Valid"/>
    <s v="Valid"/>
    <s v="Complete"/>
    <n v="4842179.1619999995"/>
    <n v="12553041.036323847"/>
    <s v="Normal"/>
    <s v="Issue"/>
    <x v="4"/>
  </r>
  <r>
    <x v="73"/>
    <s v="TOR"/>
    <x v="10"/>
    <x v="1"/>
    <n v="2022"/>
    <x v="83"/>
    <n v="1.4800000000000001E-2"/>
    <n v="670983.31000000006"/>
    <s v="2324 Wellington St, Suite 18"/>
    <s v="H7K 9B2"/>
    <s v="Sophia White"/>
    <n v="5162634"/>
    <d v="2024-06-17T00:00:00"/>
    <s v="Toronto"/>
    <n v="1.4800000000000001E-2"/>
    <n v="1"/>
    <s v="Apartment buildings and multi-tenant residential"/>
    <s v="Valid"/>
    <s v="Match"/>
    <s v="Valid"/>
    <s v="Unique"/>
    <s v="Valid"/>
    <s v="Valid"/>
    <s v="Valid"/>
    <s v="Complete"/>
    <n v="4842179.1619999995"/>
    <n v="12553041.036323847"/>
    <s v="Outlier"/>
    <s v="Issue"/>
    <x v="6"/>
  </r>
  <r>
    <x v="74"/>
    <s v="KIN"/>
    <x v="7"/>
    <x v="0"/>
    <n v="2024"/>
    <x v="84"/>
    <n v="9.2999999999999992E-3"/>
    <n v="14787.6"/>
    <s v="5031 Queen St"/>
    <s v="K7P 4B2"/>
    <s v="Emma Johnson"/>
    <n v="1805353"/>
    <d v="2021-11-26T00:00:00"/>
    <s v="Kingston"/>
    <n v="9.2999999999999992E-3"/>
    <n v="1"/>
    <s v="Farms and rural properties"/>
    <s v="Valid"/>
    <s v="Match"/>
    <s v="Mismatch"/>
    <s v="Unique"/>
    <s v="Valid"/>
    <s v="Valid"/>
    <s v="Valid"/>
    <s v="Complete"/>
    <n v="4842179.1619999995"/>
    <n v="12553041.036323847"/>
    <s v="Normal"/>
    <s v="Issue"/>
    <x v="4"/>
  </r>
  <r>
    <x v="75"/>
    <s v="KIN"/>
    <x v="7"/>
    <x v="0"/>
    <n v="2024"/>
    <x v="85"/>
    <n v="9.2999999999999992E-3"/>
    <n v="37861.910000000003"/>
    <s v="2424 Lakeshore Rd, Suite 16"/>
    <s v="V3G 0E0"/>
    <s v="Martin Holdings Inc."/>
    <n v="5038504"/>
    <d v="2023-02-23T00:00:00"/>
    <s v="Kingston"/>
    <n v="9.2999999999999992E-3"/>
    <n v="1"/>
    <s v="Farms and rural properties"/>
    <s v="Valid"/>
    <s v="Match"/>
    <s v="Mismatch"/>
    <s v="Unique"/>
    <s v="Valid"/>
    <s v="Valid"/>
    <s v="Valid"/>
    <s v="Complete"/>
    <n v="4842179.1619999995"/>
    <n v="12553041.036323847"/>
    <s v="Normal"/>
    <s v="Issue"/>
    <x v="4"/>
  </r>
  <r>
    <x v="76"/>
    <s v="OSH"/>
    <x v="0"/>
    <x v="3"/>
    <n v="2021"/>
    <x v="86"/>
    <n v="1.24E-2"/>
    <n v="17368.150000000001"/>
    <s v="7384 Victoria Rd"/>
    <s v="T7B 0H8"/>
    <s v="Fatima Clark"/>
    <n v="1606723"/>
    <d v="2027-12-27T00:00:00"/>
    <s v="Oshawa"/>
    <n v="1.24E-2"/>
    <n v="1"/>
    <s v="Single-family and multi-unit homes"/>
    <s v="Valid"/>
    <s v="Match"/>
    <s v="Valid"/>
    <s v="Unique"/>
    <s v="Valid"/>
    <s v="Valid"/>
    <s v="Invalid"/>
    <s v="Complete"/>
    <n v="4842179.1619999995"/>
    <n v="12553041.036323847"/>
    <s v="Normal"/>
    <s v="Issue"/>
    <x v="2"/>
  </r>
  <r>
    <x v="77"/>
    <s v="GUE"/>
    <x v="8"/>
    <x v="4"/>
    <n v="2023"/>
    <x v="87"/>
    <n v="1.8499999999999999E-2"/>
    <n v="69255.45"/>
    <s v="749 Queen St"/>
    <s v="INVALID"/>
    <s v="Noah Thomas"/>
    <n v="3829431"/>
    <d v="2023-09-16T00:00:00"/>
    <s v="Guelph"/>
    <n v="1.8499999999999999E-2"/>
    <n v="1"/>
    <s v="Manufacturing and warehousing"/>
    <s v="Valid"/>
    <s v="Match"/>
    <s v="Valid"/>
    <s v="Unique"/>
    <s v="Invalid"/>
    <s v="Valid"/>
    <s v="Valid"/>
    <s v="Complete"/>
    <n v="4842179.1619999995"/>
    <n v="12553041.036323847"/>
    <s v="Normal"/>
    <s v="Issue"/>
    <x v="0"/>
  </r>
  <r>
    <x v="78"/>
    <s v="LON"/>
    <x v="1"/>
    <x v="2"/>
    <n v="2022"/>
    <x v="88"/>
    <n v="2.0400000000000001E-2"/>
    <n v="63709.32"/>
    <s v="1083 Church St, Unit 1"/>
    <s v="Y5B 7S9"/>
    <s v="Liam Taylor"/>
    <n v="2833006"/>
    <d v="2027-12-08T00:00:00"/>
    <s v="London"/>
    <n v="2.0400000000000001E-2"/>
    <n v="1"/>
    <s v="Business properties and retail"/>
    <s v="Valid"/>
    <s v="Match"/>
    <s v="Valid"/>
    <s v="Unique"/>
    <s v="Valid"/>
    <s v="Valid"/>
    <s v="Invalid"/>
    <s v="Complete"/>
    <n v="4842179.1619999995"/>
    <n v="12553041.036323847"/>
    <s v="Normal"/>
    <s v="Issue"/>
    <x v="2"/>
  </r>
  <r>
    <x v="79"/>
    <s v="GUE"/>
    <x v="8"/>
    <x v="3"/>
    <n v="2023"/>
    <x v="89"/>
    <n v="1.2500000000000001E-2"/>
    <n v="8586.08"/>
    <s v="9390 King St"/>
    <s v="E3N 7X5"/>
    <s v="Fatima Anderson"/>
    <n v="851258"/>
    <d v="2027-05-03T00:00:00"/>
    <s v="Guelph"/>
    <n v="1.2500000000000001E-2"/>
    <n v="1"/>
    <s v="Single-family and multi-unit homes"/>
    <s v="Valid"/>
    <s v="Match"/>
    <s v="Valid"/>
    <s v="Unique"/>
    <s v="Valid"/>
    <s v="Valid"/>
    <s v="Invalid"/>
    <s v="Complete"/>
    <n v="4842179.1619999995"/>
    <n v="12553041.036323847"/>
    <s v="Normal"/>
    <s v="Issue"/>
    <x v="2"/>
  </r>
  <r>
    <x v="80"/>
    <s v="WDR"/>
    <x v="4"/>
    <x v="4"/>
    <n v="2022"/>
    <x v="90"/>
    <n v="1.8700000000000001E-2"/>
    <n v="62892.959999999999"/>
    <s v="6659 Maple Ave, Unit 1"/>
    <s v="K4T 7Y6"/>
    <s v="Mary Williams"/>
    <n v="3214521"/>
    <d v="2020-07-12T00:00:00"/>
    <s v="Windsor"/>
    <n v="1.8700000000000001E-2"/>
    <n v="1"/>
    <s v="Manufacturing and warehousing"/>
    <s v="Valid"/>
    <s v="Match"/>
    <s v="Mismatch"/>
    <s v="Unique"/>
    <s v="Valid"/>
    <s v="Valid"/>
    <s v="Valid"/>
    <s v="Complete"/>
    <n v="4842179.1619999995"/>
    <n v="12553041.036323847"/>
    <s v="Normal"/>
    <s v="Issue"/>
    <x v="4"/>
  </r>
  <r>
    <x v="81"/>
    <s v="BRN"/>
    <x v="6"/>
    <x v="0"/>
    <n v="2023"/>
    <x v="91"/>
    <n v="9.5999999999999992E-3"/>
    <n v="10311.969999999999"/>
    <s v="307 Victoria Rd"/>
    <s v="P2H 8B1"/>
    <s v="Sarah Patel"/>
    <n v="1051973"/>
    <d v="2023-02-24T00:00:00"/>
    <s v="Brampton"/>
    <n v="9.5999999999999992E-3"/>
    <n v="1"/>
    <s v="Farms and rural properties"/>
    <s v="Valid"/>
    <s v="Match"/>
    <s v="Mismatch"/>
    <s v="Unique"/>
    <s v="Valid"/>
    <s v="Valid"/>
    <s v="Valid"/>
    <s v="Complete"/>
    <n v="4842179.1619999995"/>
    <n v="12553041.036323847"/>
    <s v="Normal"/>
    <s v="Issue"/>
    <x v="4"/>
  </r>
  <r>
    <x v="82"/>
    <s v="ZZZ"/>
    <x v="10"/>
    <x v="1"/>
    <n v="2022"/>
    <x v="92"/>
    <n v="1.47E-2"/>
    <n v="81527.14"/>
    <s v="9394 Park Ave, Suite 17"/>
    <s v="K1N 8J5"/>
    <s v="Michael Wilson"/>
    <n v="5817778"/>
    <d v="2023-08-15T00:00:00"/>
    <m/>
    <m/>
    <n v="1"/>
    <s v="Apartment buildings and multi-tenant residential"/>
    <s v="Invalid"/>
    <s v="Mismatch"/>
    <s v="Mismatch"/>
    <s v="Unique"/>
    <s v="Valid"/>
    <s v="Valid"/>
    <s v="Valid"/>
    <s v="Complete"/>
    <n v="4842179.1619999995"/>
    <n v="12553041.036323847"/>
    <s v="Normal"/>
    <s v="Issue"/>
    <x v="7"/>
  </r>
  <r>
    <x v="83"/>
    <s v="OTT"/>
    <x v="9"/>
    <x v="1"/>
    <n v="2022"/>
    <x v="93"/>
    <n v="1.44E-2"/>
    <n v="2670488.9700000002"/>
    <s v="9347 Maple Ave"/>
    <s v="L3A 8L8"/>
    <s v="Smith Investments Inc."/>
    <n v="11482221"/>
    <d v="2019-08-01T00:00:00"/>
    <s v="Ottawa"/>
    <n v="1.44E-2"/>
    <n v="1"/>
    <s v="Apartment buildings and multi-tenant residential"/>
    <s v="Valid"/>
    <s v="Match"/>
    <s v="Valid"/>
    <s v="Unique"/>
    <s v="Valid"/>
    <s v="Valid"/>
    <s v="Valid"/>
    <s v="Complete"/>
    <n v="4842179.1619999995"/>
    <n v="12553041.036323847"/>
    <s v="Outlier"/>
    <s v="Issue"/>
    <x v="6"/>
  </r>
  <r>
    <x v="84"/>
    <s v="GUE"/>
    <x v="5"/>
    <x v="3"/>
    <n v="2022"/>
    <x v="94"/>
    <n v="1.2500000000000001E-2"/>
    <n v="16843.05"/>
    <s v="4105 Maple Ave, Suite 3"/>
    <s v="E0V 6A9"/>
    <s v="Clark Developments Inc."/>
    <n v="1609088"/>
    <d v="2021-10-09T00:00:00"/>
    <s v="Guelph"/>
    <n v="1.2500000000000001E-2"/>
    <n v="1"/>
    <s v="Single-family and multi-unit homes"/>
    <s v="Valid"/>
    <s v="Mismatch"/>
    <s v="Valid"/>
    <s v="Unique"/>
    <s v="Valid"/>
    <s v="Valid"/>
    <s v="Valid"/>
    <s v="Complete"/>
    <n v="4842179.1619999995"/>
    <n v="12553041.036323847"/>
    <s v="Normal"/>
    <s v="Issue"/>
    <x v="3"/>
  </r>
  <r>
    <x v="85"/>
    <s v="X99"/>
    <x v="9"/>
    <x v="2"/>
    <n v="2021"/>
    <x v="95"/>
    <n v="2.01E-2"/>
    <n v="92876.59"/>
    <s v="4949 Cedar Ave"/>
    <s v="C1B 8B4"/>
    <s v="Thomas Holdings Inc."/>
    <n v="5156988"/>
    <d v="2023-08-11T00:00:00"/>
    <m/>
    <m/>
    <n v="1"/>
    <s v="Business properties and retail"/>
    <s v="Invalid"/>
    <s v="Mismatch"/>
    <s v="Mismatch"/>
    <s v="Unique"/>
    <s v="Valid"/>
    <s v="Valid"/>
    <s v="Valid"/>
    <s v="Complete"/>
    <n v="4842179.1619999995"/>
    <n v="12553041.036323847"/>
    <s v="Normal"/>
    <s v="Issue"/>
    <x v="7"/>
  </r>
  <r>
    <x v="86"/>
    <s v="T0R"/>
    <x v="9"/>
    <x v="1"/>
    <n v="2021"/>
    <x v="96"/>
    <n v="1.47E-2"/>
    <n v="96676.96"/>
    <s v="7024 Cedar Ave"/>
    <s v="N0T 8N9"/>
    <s v="Sarah Smith"/>
    <n v="7288991"/>
    <d v="2019-10-04T00:00:00"/>
    <m/>
    <m/>
    <n v="1"/>
    <s v="Apartment buildings and multi-tenant residential"/>
    <s v="Invalid"/>
    <s v="Mismatch"/>
    <s v="Mismatch"/>
    <s v="Unique"/>
    <s v="Valid"/>
    <s v="Valid"/>
    <s v="Valid"/>
    <s v="Complete"/>
    <n v="4842179.1619999995"/>
    <n v="12553041.036323847"/>
    <s v="Normal"/>
    <s v="Issue"/>
    <x v="7"/>
  </r>
  <r>
    <x v="87"/>
    <s v="T0R"/>
    <x v="10"/>
    <x v="2"/>
    <n v="2021"/>
    <x v="97"/>
    <n v="2.0400000000000001E-2"/>
    <n v="42119.59"/>
    <s v="7667 Cedar Ave"/>
    <s v="N9M 6N2"/>
    <s v="Mary Martin"/>
    <n v="2016769"/>
    <d v="2019-01-16T00:00:00"/>
    <m/>
    <m/>
    <n v="1"/>
    <s v="Business properties and retail"/>
    <s v="Invalid"/>
    <s v="Mismatch"/>
    <s v="Mismatch"/>
    <s v="Unique"/>
    <s v="Valid"/>
    <s v="Valid"/>
    <s v="Valid"/>
    <s v="Complete"/>
    <n v="4842179.1619999995"/>
    <n v="12553041.036323847"/>
    <s v="Normal"/>
    <s v="Issue"/>
    <x v="7"/>
  </r>
  <r>
    <x v="88"/>
    <s v="KIN"/>
    <x v="7"/>
    <x v="4"/>
    <n v="2024"/>
    <x v="98"/>
    <n v="1.83E-2"/>
    <n v="191791.16"/>
    <s v="9632 Maple Ave"/>
    <s v="M2N 3B4"/>
    <s v="Jackson Group Inc."/>
    <n v="12984518"/>
    <d v="2027-09-13T00:00:00"/>
    <s v="Kingston"/>
    <n v="1.83E-2"/>
    <n v="1"/>
    <s v="Manufacturing and warehousing"/>
    <s v="Valid"/>
    <s v="Match"/>
    <s v="Valid"/>
    <s v="Unique"/>
    <s v="Valid"/>
    <s v="Valid"/>
    <s v="Invalid"/>
    <s v="Complete"/>
    <n v="4842179.1619999995"/>
    <n v="12553041.036323847"/>
    <s v="Normal"/>
    <s v="Issue"/>
    <x v="2"/>
  </r>
  <r>
    <x v="89"/>
    <s v="LON"/>
    <x v="1"/>
    <x v="3"/>
    <n v="2024"/>
    <x v="99"/>
    <n v="1.24E-2"/>
    <n v="12756.65"/>
    <s v="2753 Elm St"/>
    <s v="123456"/>
    <s v="Noah Lee"/>
    <n v="1175956"/>
    <d v="2025-01-05T00:00:00"/>
    <s v="London"/>
    <n v="1.24E-2"/>
    <n v="1"/>
    <s v="Single-family and multi-unit homes"/>
    <s v="Valid"/>
    <s v="Match"/>
    <s v="Valid"/>
    <s v="Unique"/>
    <s v="Invalid"/>
    <s v="Valid"/>
    <s v="Valid"/>
    <s v="Complete"/>
    <n v="4842179.1619999995"/>
    <n v="12553041.036323847"/>
    <s v="Normal"/>
    <s v="Issue"/>
    <x v="0"/>
  </r>
  <r>
    <x v="90"/>
    <s v="KIN"/>
    <x v="7"/>
    <x v="4"/>
    <n v="2021"/>
    <x v="100"/>
    <n v="1.83E-2"/>
    <n v="47495.49"/>
    <s v="7292 Elm St"/>
    <s v="B7X 9N6"/>
    <s v="Liam Thomas"/>
    <n v="2669686"/>
    <d v="2027-03-24T00:00:00"/>
    <s v="Kingston"/>
    <n v="1.83E-2"/>
    <n v="1"/>
    <s v="Manufacturing and warehousing"/>
    <s v="Valid"/>
    <s v="Match"/>
    <s v="Valid"/>
    <s v="Unique"/>
    <s v="Valid"/>
    <s v="Valid"/>
    <s v="Invalid"/>
    <s v="Complete"/>
    <n v="4842179.1619999995"/>
    <n v="12553041.036323847"/>
    <s v="Normal"/>
    <s v="Issue"/>
    <x v="2"/>
  </r>
  <r>
    <x v="91"/>
    <s v="X99"/>
    <x v="10"/>
    <x v="4"/>
    <n v="2023"/>
    <x v="101"/>
    <n v="1.84E-2"/>
    <n v="102356.77"/>
    <s v="537 Queen St, Suite 19"/>
    <s v="R6J 6C8"/>
    <s v="Chloe Brown"/>
    <n v="5646837"/>
    <d v="2022-07-13T00:00:00"/>
    <m/>
    <m/>
    <n v="1"/>
    <s v="Manufacturing and warehousing"/>
    <s v="Invalid"/>
    <s v="Mismatch"/>
    <s v="Mismatch"/>
    <s v="Unique"/>
    <s v="Valid"/>
    <s v="Valid"/>
    <s v="Valid"/>
    <s v="Complete"/>
    <n v="4842179.1619999995"/>
    <n v="12553041.036323847"/>
    <s v="Normal"/>
    <s v="Issue"/>
    <x v="7"/>
  </r>
  <r>
    <x v="92"/>
    <s v="OSH"/>
    <x v="0"/>
    <x v="5"/>
    <n v="2022"/>
    <x v="102"/>
    <n v="2.0400000000000001E-2"/>
    <n v="97046.31"/>
    <s v="1989 Maple Ave, Suite 11"/>
    <s v="H0R 5A6"/>
    <s v="Grace Brown"/>
    <n v="5376968"/>
    <d v="2022-02-14T00:00:00"/>
    <s v="Oshawa"/>
    <m/>
    <n v="1"/>
    <m/>
    <s v="Valid"/>
    <s v="Match"/>
    <s v="Mismatch"/>
    <s v="Unique"/>
    <s v="Valid"/>
    <s v="Invalid"/>
    <s v="Valid"/>
    <s v="Complete"/>
    <n v="4842179.1619999995"/>
    <n v="12553041.036323847"/>
    <s v="Normal"/>
    <s v="Issue"/>
    <x v="5"/>
  </r>
  <r>
    <x v="93"/>
    <s v="LON"/>
    <x v="1"/>
    <x v="3"/>
    <n v="2022"/>
    <x v="103"/>
    <n v="1.24E-2"/>
    <n v="15574.46"/>
    <s v="2855 Cedar Ave"/>
    <s v="J3X 1S7"/>
    <s v="Daniel Williams"/>
    <n v="1304120"/>
    <d v="2021-10-16T00:00:00"/>
    <s v="London"/>
    <n v="1.24E-2"/>
    <n v="1"/>
    <s v="Single-family and multi-unit homes"/>
    <s v="Valid"/>
    <s v="Match"/>
    <s v="Mismatch"/>
    <s v="Unique"/>
    <s v="Valid"/>
    <s v="Valid"/>
    <s v="Valid"/>
    <s v="Complete"/>
    <n v="4842179.1619999995"/>
    <n v="12553041.036323847"/>
    <s v="Normal"/>
    <s v="Issue"/>
    <x v="4"/>
  </r>
  <r>
    <x v="94"/>
    <s v="WDR"/>
    <x v="4"/>
    <x v="4"/>
    <n v="2024"/>
    <x v="104"/>
    <n v="1.8700000000000001E-2"/>
    <n v="190651.71"/>
    <s v="7893 King St"/>
    <s v="P6R 2V7"/>
    <s v="Liam White"/>
    <n v="9737084"/>
    <d v="2023-09-15T00:00:00"/>
    <s v="Windsor"/>
    <n v="1.8700000000000001E-2"/>
    <n v="1"/>
    <s v="Manufacturing and warehousing"/>
    <s v="Valid"/>
    <s v="Match"/>
    <s v="Mismatch"/>
    <s v="Unique"/>
    <s v="Valid"/>
    <s v="Valid"/>
    <s v="Valid"/>
    <s v="Complete"/>
    <n v="4842179.1619999995"/>
    <n v="12553041.036323847"/>
    <s v="Normal"/>
    <s v="Issue"/>
    <x v="4"/>
  </r>
  <r>
    <x v="95"/>
    <s v="X99"/>
    <x v="3"/>
    <x v="0"/>
    <n v="2023"/>
    <x v="105"/>
    <n v="9.7999999999999997E-3"/>
    <n v="22795.45"/>
    <s v="6281 Cedar Ave"/>
    <s v="S1E 9P2"/>
    <s v="Daniel Clark"/>
    <n v="2702660"/>
    <d v="2023-12-02T00:00:00"/>
    <m/>
    <m/>
    <n v="1"/>
    <s v="Farms and rural properties"/>
    <s v="Invalid"/>
    <s v="Mismatch"/>
    <s v="Mismatch"/>
    <s v="Unique"/>
    <s v="Valid"/>
    <s v="Valid"/>
    <s v="Valid"/>
    <s v="Complete"/>
    <n v="4842179.1619999995"/>
    <n v="12553041.036323847"/>
    <s v="Normal"/>
    <s v="Issue"/>
    <x v="7"/>
  </r>
  <r>
    <x v="96"/>
    <s v="MSS"/>
    <x v="2"/>
    <x v="2"/>
    <n v="2024"/>
    <x v="106"/>
    <n v="2.0899999999999998E-2"/>
    <n v="47197.99"/>
    <s v="1343 Victoria Rd"/>
    <s v="V1R 4J2"/>
    <s v="Clark Group Inc."/>
    <n v="2635940"/>
    <d v="2025-01-07T00:00:00"/>
    <s v="Mississauga"/>
    <n v="2.0899999999999998E-2"/>
    <n v="1"/>
    <s v="Business properties and retail"/>
    <s v="Valid"/>
    <s v="Match"/>
    <s v="Mismatch"/>
    <s v="Unique"/>
    <s v="Valid"/>
    <s v="Valid"/>
    <s v="Valid"/>
    <s v="Complete"/>
    <n v="4842179.1619999995"/>
    <n v="12553041.036323847"/>
    <s v="Normal"/>
    <s v="Issue"/>
    <x v="4"/>
  </r>
  <r>
    <x v="97"/>
    <s v="HAM"/>
    <x v="3"/>
    <x v="4"/>
    <n v="2024"/>
    <x v="107"/>
    <n v="1.8800000000000001E-2"/>
    <n v="134472.47"/>
    <s v="4230 Park Ave"/>
    <s v="E2Y 7C5"/>
    <s v="Clark Group Inc."/>
    <n v="8362234"/>
    <d v="2024-05-15T00:00:00"/>
    <s v="Hamilton"/>
    <n v="1.8800000000000001E-2"/>
    <n v="1"/>
    <s v="Manufacturing and warehousing"/>
    <s v="Valid"/>
    <s v="Match"/>
    <s v="Mismatch"/>
    <s v="Unique"/>
    <s v="Valid"/>
    <s v="Valid"/>
    <s v="Valid"/>
    <s v="Complete"/>
    <n v="4842179.1619999995"/>
    <n v="12553041.036323847"/>
    <s v="Normal"/>
    <s v="Issue"/>
    <x v="4"/>
  </r>
  <r>
    <x v="98"/>
    <s v="OTT"/>
    <x v="9"/>
    <x v="4"/>
    <n v="2024"/>
    <x v="108"/>
    <n v="1.8100000000000002E-2"/>
    <n v="162863.71"/>
    <s v="9216 Wellington St"/>
    <s v="M5V2T6"/>
    <s v="Daniel Wilson"/>
    <n v="11064859"/>
    <d v="2024-03-19T00:00:00"/>
    <s v="Ottawa"/>
    <n v="1.8100000000000002E-2"/>
    <n v="1"/>
    <s v="Manufacturing and warehousing"/>
    <s v="Valid"/>
    <s v="Match"/>
    <s v="Valid"/>
    <s v="Unique"/>
    <s v="Invalid"/>
    <s v="Valid"/>
    <s v="Valid"/>
    <s v="Complete"/>
    <n v="4842179.1619999995"/>
    <n v="12553041.036323847"/>
    <s v="Normal"/>
    <s v="Issue"/>
    <x v="0"/>
  </r>
  <r>
    <x v="99"/>
    <s v="MSS"/>
    <x v="8"/>
    <x v="2"/>
    <n v="2021"/>
    <x v="109"/>
    <n v="2.0899999999999998E-2"/>
    <n v="28406.57"/>
    <s v="5555 Cedar Ave"/>
    <s v="G6K 0E3"/>
    <s v="Fatima Wilson"/>
    <n v="1506845"/>
    <d v="2020-12-07T00:00:00"/>
    <s v="Mississauga"/>
    <n v="2.0899999999999998E-2"/>
    <n v="1"/>
    <s v="Business properties and retail"/>
    <s v="Valid"/>
    <s v="Mismatch"/>
    <s v="Valid"/>
    <s v="Unique"/>
    <s v="Valid"/>
    <s v="Valid"/>
    <s v="Valid"/>
    <s v="Complete"/>
    <n v="4842179.1619999995"/>
    <n v="12553041.036323847"/>
    <s v="Normal"/>
    <s v="Issue"/>
    <x v="3"/>
  </r>
  <r>
    <x v="100"/>
    <s v="ZZZ"/>
    <x v="9"/>
    <x v="0"/>
    <n v="2024"/>
    <x v="110"/>
    <n v="9.4999999999999998E-3"/>
    <n v="6090.95"/>
    <s v="2043 Maple Ave"/>
    <s v="E2H 0Y7"/>
    <s v="Brown Holdings Inc."/>
    <n v="605944"/>
    <d v="2022-02-27T00:00:00"/>
    <m/>
    <m/>
    <n v="1"/>
    <s v="Farms and rural properties"/>
    <s v="Invalid"/>
    <s v="Mismatch"/>
    <s v="Mismatch"/>
    <s v="Unique"/>
    <s v="Valid"/>
    <s v="Valid"/>
    <s v="Valid"/>
    <s v="Complete"/>
    <n v="4842179.1619999995"/>
    <n v="12553041.036323847"/>
    <s v="Normal"/>
    <s v="Issue"/>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666B7E-813B-47B8-B443-9F2DD04296A0}" name="PivotTable11" cacheId="4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F15" firstHeaderRow="1" firstDataRow="1" firstDataCol="5"/>
  <pivotFields count="30">
    <pivotField axis="axisRow" compact="0" outline="0" showAll="0" measureFilter="1" defaultSubtotal="0">
      <items count="101">
        <item x="90"/>
        <item x="66"/>
        <item x="4"/>
        <item x="76"/>
        <item x="5"/>
        <item x="11"/>
        <item x="20"/>
        <item x="15"/>
        <item x="28"/>
        <item x="59"/>
        <item x="40"/>
        <item x="36"/>
        <item x="85"/>
        <item x="52"/>
        <item x="86"/>
        <item x="22"/>
        <item x="9"/>
        <item x="99"/>
        <item x="70"/>
        <item x="61"/>
        <item x="87"/>
        <item x="37"/>
        <item x="72"/>
        <item x="6"/>
        <item x="63"/>
        <item x="73"/>
        <item x="93"/>
        <item x="83"/>
        <item x="67"/>
        <item x="0"/>
        <item x="82"/>
        <item x="69"/>
        <item x="24"/>
        <item x="14"/>
        <item x="54"/>
        <item x="92"/>
        <item x="68"/>
        <item x="84"/>
        <item x="35"/>
        <item x="16"/>
        <item x="39"/>
        <item x="19"/>
        <item x="78"/>
        <item x="80"/>
        <item x="47"/>
        <item x="7"/>
        <item x="77"/>
        <item x="45"/>
        <item x="34"/>
        <item x="53"/>
        <item x="71"/>
        <item x="18"/>
        <item x="21"/>
        <item x="55"/>
        <item x="79"/>
        <item x="2"/>
        <item x="29"/>
        <item x="57"/>
        <item x="95"/>
        <item x="81"/>
        <item x="91"/>
        <item x="26"/>
        <item x="58"/>
        <item x="49"/>
        <item x="41"/>
        <item x="38"/>
        <item x="65"/>
        <item x="50"/>
        <item x="62"/>
        <item x="56"/>
        <item x="10"/>
        <item x="31"/>
        <item x="17"/>
        <item x="43"/>
        <item x="3"/>
        <item x="32"/>
        <item x="33"/>
        <item x="25"/>
        <item x="94"/>
        <item x="97"/>
        <item x="60"/>
        <item x="88"/>
        <item x="44"/>
        <item x="48"/>
        <item x="98"/>
        <item x="1"/>
        <item x="12"/>
        <item x="75"/>
        <item x="46"/>
        <item x="23"/>
        <item x="74"/>
        <item x="100"/>
        <item x="30"/>
        <item x="42"/>
        <item x="89"/>
        <item x="96"/>
        <item x="51"/>
        <item x="27"/>
        <item x="13"/>
        <item x="8"/>
        <item x="64"/>
      </items>
    </pivotField>
    <pivotField compact="0" outline="0" showAll="0" defaultSubtotal="0"/>
    <pivotField axis="axisRow" compact="0" outline="0" showAll="0" defaultSubtotal="0">
      <items count="11">
        <item x="5"/>
        <item x="6"/>
        <item x="8"/>
        <item x="3"/>
        <item x="7"/>
        <item x="1"/>
        <item x="2"/>
        <item x="0"/>
        <item x="9"/>
        <item x="10"/>
        <item x="4"/>
      </items>
    </pivotField>
    <pivotField axis="axisRow" compact="0" outline="0" showAll="0" defaultSubtotal="0">
      <items count="9">
        <item x="0"/>
        <item x="2"/>
        <item x="4"/>
        <item x="8"/>
        <item x="1"/>
        <item x="5"/>
        <item x="6"/>
        <item x="3"/>
        <item x="7"/>
      </items>
    </pivotField>
    <pivotField compact="0" outline="0" showAll="0" defaultSubtotal="0"/>
    <pivotField axis="axisRow" dataField="1" compact="0" outline="0" showAll="0" sortType="descending" defaultSubtotal="0">
      <items count="111">
        <item x="93"/>
        <item x="66"/>
        <item x="51"/>
        <item x="31"/>
        <item x="83"/>
        <item x="90"/>
        <item x="9"/>
        <item x="91"/>
        <item x="49"/>
        <item x="98"/>
        <item x="3"/>
        <item x="104"/>
        <item x="72"/>
        <item x="41"/>
        <item x="108"/>
        <item x="63"/>
        <item x="56"/>
        <item x="20"/>
        <item x="75"/>
        <item x="60"/>
        <item x="29"/>
        <item x="42"/>
        <item x="74"/>
        <item x="43"/>
        <item x="76"/>
        <item x="68"/>
        <item x="78"/>
        <item x="107"/>
        <item x="19"/>
        <item x="23"/>
        <item x="96"/>
        <item x="8"/>
        <item x="26"/>
        <item x="64"/>
        <item x="34"/>
        <item x="59"/>
        <item x="101"/>
        <item x="92"/>
        <item x="38"/>
        <item x="16"/>
        <item x="67"/>
        <item x="6"/>
        <item x="102"/>
        <item x="95"/>
        <item x="80"/>
        <item x="4"/>
        <item x="14"/>
        <item x="85"/>
        <item x="87"/>
        <item x="53"/>
        <item x="73"/>
        <item x="61"/>
        <item x="32"/>
        <item x="46"/>
        <item x="22"/>
        <item x="81"/>
        <item x="58"/>
        <item x="88"/>
        <item x="39"/>
        <item x="77"/>
        <item x="71"/>
        <item x="12"/>
        <item x="100"/>
        <item x="30"/>
        <item x="79"/>
        <item x="21"/>
        <item x="105"/>
        <item x="33"/>
        <item x="55"/>
        <item x="106"/>
        <item x="82"/>
        <item x="97"/>
        <item x="13"/>
        <item x="40"/>
        <item x="25"/>
        <item x="11"/>
        <item x="84"/>
        <item x="0"/>
        <item x="36"/>
        <item x="35"/>
        <item x="86"/>
        <item x="27"/>
        <item x="54"/>
        <item x="109"/>
        <item x="5"/>
        <item x="94"/>
        <item x="28"/>
        <item x="18"/>
        <item x="103"/>
        <item x="10"/>
        <item x="99"/>
        <item x="24"/>
        <item x="69"/>
        <item x="45"/>
        <item x="15"/>
        <item x="47"/>
        <item x="65"/>
        <item x="17"/>
        <item x="52"/>
        <item x="48"/>
        <item x="89"/>
        <item x="37"/>
        <item x="50"/>
        <item x="44"/>
        <item x="2"/>
        <item x="7"/>
        <item x="70"/>
        <item x="110"/>
        <item x="1"/>
        <item x="57"/>
        <item x="6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9">
        <item x="1"/>
        <item x="7"/>
        <item x="0"/>
        <item x="5"/>
        <item x="2"/>
        <item x="3"/>
        <item x="6"/>
        <item x="4"/>
        <item x="8"/>
      </items>
    </pivotField>
  </pivotFields>
  <rowFields count="5">
    <field x="0"/>
    <field x="2"/>
    <field x="3"/>
    <field x="5"/>
    <field x="29"/>
  </rowFields>
  <rowItems count="12">
    <i>
      <x v="24"/>
      <x v="3"/>
      <x v="2"/>
      <x v="12"/>
      <x/>
    </i>
    <i r="1">
      <x v="8"/>
      <x/>
      <x v="50"/>
      <x/>
    </i>
    <i>
      <x v="25"/>
      <x v="9"/>
      <x v="4"/>
      <x v="4"/>
      <x v="6"/>
    </i>
    <i>
      <x v="27"/>
      <x v="8"/>
      <x v="4"/>
      <x/>
      <x v="6"/>
    </i>
    <i>
      <x v="43"/>
      <x v="10"/>
      <x v="2"/>
      <x v="5"/>
      <x v="7"/>
    </i>
    <i>
      <x v="45"/>
      <x v="1"/>
      <x v="1"/>
      <x v="6"/>
      <x v="7"/>
    </i>
    <i>
      <x v="48"/>
      <x v="1"/>
      <x v="4"/>
      <x v="13"/>
      <x/>
    </i>
    <i r="1">
      <x v="9"/>
      <x v="4"/>
      <x v="21"/>
      <x/>
    </i>
    <i>
      <x v="57"/>
      <x v="6"/>
      <x v="4"/>
      <x v="1"/>
      <x v="6"/>
    </i>
    <i>
      <x v="59"/>
      <x v="1"/>
      <x/>
      <x v="7"/>
      <x v="7"/>
    </i>
    <i>
      <x v="77"/>
      <x v="7"/>
      <x v="4"/>
      <x v="3"/>
      <x v="6"/>
    </i>
    <i>
      <x v="93"/>
      <x v="10"/>
      <x v="2"/>
      <x v="2"/>
      <x v="8"/>
    </i>
  </rowItems>
  <colItems count="1">
    <i/>
  </colItems>
  <dataFields count="1">
    <dataField name="Sum of Assessed_Value" fld="5" baseField="0" baseItem="0"/>
  </dataFields>
  <formats count="6">
    <format dxfId="5">
      <pivotArea dataOnly="0" labelOnly="1" outline="0" fieldPosition="0">
        <references count="5">
          <reference field="0" count="1" selected="0">
            <x v="93"/>
          </reference>
          <reference field="2" count="1" selected="0">
            <x v="10"/>
          </reference>
          <reference field="3" count="1" selected="0">
            <x v="2"/>
          </reference>
          <reference field="5" count="1" selected="0">
            <x v="2"/>
          </reference>
          <reference field="29" count="1">
            <x v="8"/>
          </reference>
        </references>
      </pivotArea>
    </format>
    <format dxfId="4">
      <pivotArea dataOnly="0" labelOnly="1" outline="0" fieldPosition="0">
        <references count="1">
          <reference field="0" count="0"/>
        </references>
      </pivotArea>
    </format>
    <format dxfId="3">
      <pivotArea dataOnly="0" labelOnly="1" outline="0" fieldPosition="0">
        <references count="1">
          <reference field="2" count="0"/>
        </references>
      </pivotArea>
    </format>
    <format dxfId="2">
      <pivotArea dataOnly="0" labelOnly="1" outline="0" fieldPosition="0">
        <references count="1">
          <reference field="3" count="0"/>
        </references>
      </pivotArea>
    </format>
    <format dxfId="1">
      <pivotArea dataOnly="0" labelOnly="1" outline="0" fieldPosition="0">
        <references count="1">
          <reference field="5" count="0"/>
        </references>
      </pivotArea>
    </format>
    <format dxfId="0">
      <pivotArea dataOnly="0" labelOnly="1" outline="0" fieldPosition="0">
        <references count="1">
          <reference field="29" count="0"/>
        </references>
      </pivotArea>
    </format>
  </formats>
  <pivotTableStyleInfo name="PivotStyleMedium2"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DA110B-C6BE-4F60-9AF4-3CD41AEFD883}"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rowPageCount="1" colPageCount="1"/>
  <pivotFields count="29">
    <pivotField dataField="1" showAll="0"/>
    <pivotField showAll="0"/>
    <pivotField axis="axisRow" showAll="0" sortType="ascending">
      <items count="12">
        <item h="1" x="9"/>
        <item x="3"/>
        <item x="5"/>
        <item x="7"/>
        <item x="10"/>
        <item x="4"/>
        <item x="6"/>
        <item x="2"/>
        <item x="0"/>
        <item x="1"/>
        <item x="8"/>
        <item t="default"/>
      </items>
      <autoSortScope>
        <pivotArea dataOnly="0" outline="0" fieldPosition="0">
          <references count="1">
            <reference field="4294967294" count="1" selected="0">
              <x v="0"/>
            </reference>
          </references>
        </pivotArea>
      </autoSortScope>
    </pivotField>
    <pivotField showAll="0">
      <items count="10">
        <item x="2"/>
        <item x="3"/>
        <item x="1"/>
        <item x="8"/>
        <item x="4"/>
        <item h="1" x="5"/>
        <item h="1" x="6"/>
        <item x="0"/>
        <item h="1" x="7"/>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1"/>
        <item h="1" x="0"/>
        <item h="1" x="2"/>
        <item t="default"/>
      </items>
    </pivotField>
  </pivotFields>
  <rowFields count="1">
    <field x="2"/>
  </rowFields>
  <rowItems count="11">
    <i>
      <x v="7"/>
    </i>
    <i>
      <x v="3"/>
    </i>
    <i>
      <x v="5"/>
    </i>
    <i>
      <x v="2"/>
    </i>
    <i>
      <x v="6"/>
    </i>
    <i>
      <x v="10"/>
    </i>
    <i>
      <x v="1"/>
    </i>
    <i>
      <x v="4"/>
    </i>
    <i>
      <x v="9"/>
    </i>
    <i>
      <x v="8"/>
    </i>
    <i t="grand">
      <x/>
    </i>
  </rowItems>
  <colItems count="1">
    <i/>
  </colItems>
  <pageFields count="1">
    <pageField fld="28" hier="-1"/>
  </pageFields>
  <dataFields count="1">
    <dataField name="Count of Roll_Number"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478ED2-A671-46BA-AD07-5A8619D57813}"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rowPageCount="1" colPageCount="1"/>
  <pivotFields count="29">
    <pivotField dataField="1" showAll="0"/>
    <pivotField showAll="0"/>
    <pivotField showAll="0">
      <items count="12">
        <item h="1" x="9"/>
        <item x="3"/>
        <item x="5"/>
        <item x="7"/>
        <item x="10"/>
        <item x="4"/>
        <item x="6"/>
        <item x="2"/>
        <item x="0"/>
        <item x="1"/>
        <item x="8"/>
        <item t="default"/>
      </items>
    </pivotField>
    <pivotField axis="axisRow" showAll="0" sortType="ascending">
      <items count="10">
        <item x="2"/>
        <item x="3"/>
        <item x="1"/>
        <item x="8"/>
        <item x="4"/>
        <item h="1" x="5"/>
        <item h="1" x="6"/>
        <item x="0"/>
        <item h="1" x="7"/>
        <item t="default"/>
      </items>
      <autoSortScope>
        <pivotArea dataOnly="0" outline="0" fieldPosition="0">
          <references count="1">
            <reference field="4294967294" count="1" selected="0">
              <x v="0"/>
            </reference>
          </references>
        </pivotArea>
      </autoSortScope>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1"/>
        <item h="1" x="0"/>
        <item h="1" x="2"/>
        <item t="default"/>
      </items>
    </pivotField>
  </pivotFields>
  <rowFields count="1">
    <field x="3"/>
  </rowFields>
  <rowItems count="7">
    <i>
      <x v="3"/>
    </i>
    <i>
      <x v="7"/>
    </i>
    <i>
      <x v="1"/>
    </i>
    <i>
      <x v="2"/>
    </i>
    <i>
      <x/>
    </i>
    <i>
      <x v="4"/>
    </i>
    <i t="grand">
      <x/>
    </i>
  </rowItems>
  <colItems count="1">
    <i/>
  </colItems>
  <pageFields count="1">
    <pageField fld="28" hier="-1"/>
  </pageFields>
  <dataFields count="1">
    <dataField name="Count of Roll_Number"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A8D0F4-399C-439D-B4E0-3BD3BA7D3CBC}"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29">
    <pivotField showAll="0"/>
    <pivotField showAll="0"/>
    <pivotField showAll="0">
      <items count="12">
        <item h="1" x="9"/>
        <item x="3"/>
        <item x="5"/>
        <item x="7"/>
        <item x="10"/>
        <item x="4"/>
        <item x="6"/>
        <item x="2"/>
        <item x="0"/>
        <item x="1"/>
        <item x="8"/>
        <item t="default"/>
      </items>
    </pivotField>
    <pivotField axis="axisRow" showAll="0" sortType="ascending">
      <items count="10">
        <item x="2"/>
        <item x="3"/>
        <item x="1"/>
        <item x="8"/>
        <item x="4"/>
        <item h="1" x="5"/>
        <item h="1" x="6"/>
        <item x="0"/>
        <item h="1" x="7"/>
        <item t="default"/>
      </items>
      <autoSortScope>
        <pivotArea dataOnly="0" outline="0" fieldPosition="0">
          <references count="1">
            <reference field="4294967294" count="1" selected="0">
              <x v="0"/>
            </reference>
          </references>
        </pivotArea>
      </autoSortScope>
    </pivotField>
    <pivotField showAll="0">
      <items count="5">
        <item x="2"/>
        <item x="1"/>
        <item x="0"/>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v="7"/>
    </i>
    <i>
      <x/>
    </i>
    <i>
      <x v="1"/>
    </i>
    <i>
      <x v="3"/>
    </i>
    <i>
      <x v="2"/>
    </i>
    <i>
      <x v="4"/>
    </i>
    <i t="grand">
      <x/>
    </i>
  </rowItems>
  <colItems count="1">
    <i/>
  </colItems>
  <dataFields count="1">
    <dataField name="Average of Assessed_Value" fld="5" subtotal="average" baseField="3"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606060-0EEE-4548-97FC-C07C502B46D9}"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2">
    <pivotField axis="axisRow" showAll="0" sortType="ascending">
      <items count="10">
        <item x="4"/>
        <item x="7"/>
        <item x="0"/>
        <item x="5"/>
        <item x="2"/>
        <item x="6"/>
        <item x="1"/>
        <item x="8"/>
        <item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0">
    <i>
      <x v="1"/>
    </i>
    <i>
      <x v="7"/>
    </i>
    <i>
      <x v="5"/>
    </i>
    <i>
      <x v="4"/>
    </i>
    <i>
      <x v="2"/>
    </i>
    <i>
      <x v="3"/>
    </i>
    <i>
      <x/>
    </i>
    <i>
      <x v="6"/>
    </i>
    <i>
      <x v="8"/>
    </i>
    <i t="grand">
      <x/>
    </i>
  </rowItems>
  <colItems count="1">
    <i/>
  </colItems>
  <dataFields count="1">
    <dataField name="Sum of Number"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E52C323B-16D9-44D9-B421-CD35E205AAA3}" autoFormatId="16" applyNumberFormats="0" applyBorderFormats="0" applyFontFormats="0" applyPatternFormats="0" applyAlignmentFormats="0" applyWidthHeightFormats="0">
  <queryTableRefresh nextId="4">
    <queryTableFields count="3">
      <queryTableField id="1" name="Mean_Assessed_Value" tableColumnId="1"/>
      <queryTableField id="2" name="StdDev_Assessed_Value" tableColumnId="2"/>
      <queryTableField id="3" name="JoinKey"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5A3B24F0-D0BB-4A76-A998-49995195F401}" autoFormatId="16" applyNumberFormats="0" applyBorderFormats="0" applyFontFormats="0" applyPatternFormats="0" applyAlignmentFormats="0" applyWidthHeightFormats="0">
  <queryTableRefresh nextId="3">
    <queryTableFields count="2">
      <queryTableField id="1" name="Roll_Number" tableColumnId="1"/>
      <queryTableField id="2" name="Roll_Coun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3" xr16:uid="{6970FE6F-6086-407C-9B15-1CA9F868F70D}" autoFormatId="16" applyNumberFormats="0" applyBorderFormats="0" applyFontFormats="0" applyPatternFormats="0" applyAlignmentFormats="0" applyWidthHeightFormats="0">
  <queryTableRefresh nextId="31">
    <queryTableFields count="30">
      <queryTableField id="1" name="Roll_Number" tableColumnId="1"/>
      <queryTableField id="2" name="Municipality_Code" tableColumnId="2"/>
      <queryTableField id="3" name="Municipality_Name" tableColumnId="3"/>
      <queryTableField id="4" name="Property_Class" tableColumnId="4"/>
      <queryTableField id="5" name="Assessment_Year" tableColumnId="5"/>
      <queryTableField id="6" name="Assessed_Value" tableColumnId="6"/>
      <queryTableField id="7" name="Tax_Rate" tableColumnId="7"/>
      <queryTableField id="8" name="Calculated_Tax" tableColumnId="8"/>
      <queryTableField id="9" name="Address" tableColumnId="9"/>
      <queryTableField id="10" name="Postal_Code" tableColumnId="10"/>
      <queryTableField id="11" name="Owner_Name" tableColumnId="11"/>
      <queryTableField id="12" name="Sale_Price" tableColumnId="12"/>
      <queryTableField id="13" name="Sale_Date" tableColumnId="13"/>
      <queryTableField id="14" name="Expected_Municipality_Name" tableColumnId="14"/>
      <queryTableField id="15" name="Expected_Tax_Rate" tableColumnId="15"/>
      <queryTableField id="16" name="Roll_Count" tableColumnId="16"/>
      <queryTableField id="17" name="Property_Class_Description" tableColumnId="17"/>
      <queryTableField id="18" name="Municipality_Code_Check" tableColumnId="18"/>
      <queryTableField id="19" name="Municipality_Name_Check" tableColumnId="19"/>
      <queryTableField id="20" name="Tax_Check" tableColumnId="20"/>
      <queryTableField id="21" name="Duplicate_Check" tableColumnId="21"/>
      <queryTableField id="22" name="Postal_Code_Check" tableColumnId="22"/>
      <queryTableField id="23" name="Property_Class_Check" tableColumnId="23"/>
      <queryTableField id="24" name="Sale_Date_Check" tableColumnId="24"/>
      <queryTableField id="25" name="Completeness_Check" tableColumnId="25"/>
      <queryTableField id="26" name="Mean_Assessed_Value" tableColumnId="26"/>
      <queryTableField id="27" name="StdDev_Assessed_Value" tableColumnId="27"/>
      <queryTableField id="28" name="Outlier_Check" tableColumnId="28"/>
      <queryTableField id="29" name="Overall_Status" tableColumnId="29"/>
      <queryTableField id="30" name="Issue_Reason" tableColumnId="3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refreshOnLoad="1" connectionId="2" xr16:uid="{1EA6DFED-16AC-4E1B-A66E-A049C5CAF2D9}" autoFormatId="16" applyNumberFormats="0" applyBorderFormats="0" applyFontFormats="0" applyPatternFormats="0" applyAlignmentFormats="0" applyWidthHeightFormats="0">
  <queryTableRefresh nextId="30">
    <queryTableFields count="29">
      <queryTableField id="1" name="Roll_Number" tableColumnId="1"/>
      <queryTableField id="2" name="Municipality_Code" tableColumnId="2"/>
      <queryTableField id="3" name="Municipality_Name" tableColumnId="3"/>
      <queryTableField id="4" name="Property_Class" tableColumnId="4"/>
      <queryTableField id="5" name="Assessment_Year" tableColumnId="5"/>
      <queryTableField id="6" name="Assessed_Value" tableColumnId="6"/>
      <queryTableField id="7" name="Tax_Rate" tableColumnId="7"/>
      <queryTableField id="8" name="Calculated_Tax" tableColumnId="8"/>
      <queryTableField id="9" name="Address" tableColumnId="9"/>
      <queryTableField id="10" name="Postal_Code" tableColumnId="10"/>
      <queryTableField id="11" name="Owner_Name" tableColumnId="11"/>
      <queryTableField id="12" name="Sale_Price" tableColumnId="12"/>
      <queryTableField id="13" name="Sale_Date" tableColumnId="13"/>
      <queryTableField id="14" name="Expected_Municipality_Name" tableColumnId="14"/>
      <queryTableField id="15" name="Expected_Tax_Rate" tableColumnId="15"/>
      <queryTableField id="16" name="Roll_Count" tableColumnId="16"/>
      <queryTableField id="17" name="Property_Class_Description" tableColumnId="17"/>
      <queryTableField id="18" name="Municipality_Code_Check" tableColumnId="18"/>
      <queryTableField id="19" name="Municipality_Name_Check" tableColumnId="19"/>
      <queryTableField id="20" name="Tax_Check" tableColumnId="20"/>
      <queryTableField id="21" name="Duplicate_Check" tableColumnId="21"/>
      <queryTableField id="22" name="Postal_Code_Check" tableColumnId="22"/>
      <queryTableField id="23" name="Property_Class_Check" tableColumnId="23"/>
      <queryTableField id="24" name="Sale_Date_Check" tableColumnId="24"/>
      <queryTableField id="25" name="Completeness_Check" tableColumnId="25"/>
      <queryTableField id="26" name="Mean_Assessed_Value" tableColumnId="26"/>
      <queryTableField id="27" name="StdDev_Assessed_Value" tableColumnId="27"/>
      <queryTableField id="28" name="Outlier_Check" tableColumnId="28"/>
      <queryTableField id="29" name="Overall_Status"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unicipality_Name" xr10:uid="{4E54E157-AD9D-4DAD-AADA-9370AE7F8DFA}" sourceName="Municipality_Name">
  <pivotTables>
    <pivotTable tabId="21" name="PivotTable3"/>
    <pivotTable tabId="19" name="PivotTable1"/>
    <pivotTable tabId="20" name="PivotTable2"/>
  </pivotTables>
  <data>
    <tabular pivotCacheId="700842989">
      <items count="11">
        <i x="9"/>
        <i x="3" s="1"/>
        <i x="5" s="1"/>
        <i x="7" s="1"/>
        <i x="10" s="1"/>
        <i x="4" s="1"/>
        <i x="6" s="1"/>
        <i x="2" s="1"/>
        <i x="0" s="1"/>
        <i x="1" s="1"/>
        <i x="8"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Class" xr10:uid="{F0B559B0-347D-4CC8-87E5-02F49351AC51}" sourceName="Property_Class">
  <pivotTables>
    <pivotTable tabId="21" name="PivotTable3"/>
    <pivotTable tabId="19" name="PivotTable1"/>
    <pivotTable tabId="20" name="PivotTable2"/>
  </pivotTables>
  <data>
    <tabular pivotCacheId="700842989">
      <items count="9">
        <i x="2" s="1"/>
        <i x="3" s="1"/>
        <i x="1" s="1"/>
        <i x="8" s="1"/>
        <i x="4" s="1"/>
        <i x="5"/>
        <i x="6"/>
        <i x="0" s="1"/>
        <i x="7"/>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essment_Year" xr10:uid="{EB6B1871-91E6-4B83-9526-B1E8B81FE074}" sourceName="Assessment_Year">
  <pivotTables>
    <pivotTable tabId="21" name="PivotTable3"/>
    <pivotTable tabId="19" name="PivotTable1"/>
    <pivotTable tabId="20" name="PivotTable2"/>
  </pivotTables>
  <data>
    <tabular pivotCacheId="700842989">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unicipality_Name" xr10:uid="{FAA096B7-1335-498C-83B5-6FF89F35D5FC}" cache="Slicer_Municipality_Name" caption="Municipality_Name" style="SlicerStyleDark1" rowHeight="241300"/>
  <slicer name="Property_Class" xr10:uid="{E152F43D-C295-4978-B4E4-D4F78AE19100}" cache="Slicer_Property_Class" caption="Property_Class" startItem="2" style="SlicerStyleDark1" rowHeight="241300"/>
  <slicer name="Assessment_Year" xr10:uid="{BE579756-F2E4-4D20-B2F0-0ED659DD6A8C}" cache="Slicer_Assessment_Year" caption="Assessment_Year"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unicipality_Name 1" xr10:uid="{ECB6901C-6449-4D58-B627-4388C3960971}" cache="Slicer_Municipality_Name" caption="Municipality" style="SlicerStyleDark1" rowHeight="241300"/>
  <slicer name="Property_Class 1" xr10:uid="{0D2C68F7-97AA-4B05-9138-CB1069517CAC}" cache="Slicer_Property_Class" caption="Property Class" style="SlicerStyleDark1" rowHeight="241300"/>
  <slicer name="Assessment_Year 1" xr10:uid="{D7C9F0F9-9ACA-4F1C-A8CE-20B484F73668}" cache="Slicer_Assessment_Year" caption="Assessment Year" style="SlicerStyleDark1" rowHeight="2413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perty_Assessment" displayName="Property_Assessment" ref="A1:M501">
  <autoFilter ref="A1:M501" xr:uid="{00000000-0009-0000-0100-000001000000}"/>
  <tableColumns count="13">
    <tableColumn id="1" xr3:uid="{00000000-0010-0000-0000-000001000000}" name="Roll_Number"/>
    <tableColumn id="2" xr3:uid="{00000000-0010-0000-0000-000002000000}" name="Municipality_Code"/>
    <tableColumn id="3" xr3:uid="{00000000-0010-0000-0000-000003000000}" name="Municipality_Name"/>
    <tableColumn id="4" xr3:uid="{00000000-0010-0000-0000-000004000000}" name="Property_Class"/>
    <tableColumn id="5" xr3:uid="{00000000-0010-0000-0000-000005000000}" name="Assessment_Year"/>
    <tableColumn id="6" xr3:uid="{00000000-0010-0000-0000-000006000000}" name="Assessed_Value"/>
    <tableColumn id="7" xr3:uid="{00000000-0010-0000-0000-000007000000}" name="Tax_Rate"/>
    <tableColumn id="8" xr3:uid="{00000000-0010-0000-0000-000008000000}" name="Calculated_Tax"/>
    <tableColumn id="9" xr3:uid="{00000000-0010-0000-0000-000009000000}" name="Address"/>
    <tableColumn id="10" xr3:uid="{00000000-0010-0000-0000-00000A000000}" name="Postal_Code"/>
    <tableColumn id="11" xr3:uid="{00000000-0010-0000-0000-00000B000000}" name="Owner_Name"/>
    <tableColumn id="12" xr3:uid="{00000000-0010-0000-0000-00000C000000}" name="Sale_Price"/>
    <tableColumn id="13" xr3:uid="{00000000-0010-0000-0000-00000D000000}" name="Sale_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unicipality_Reference" displayName="Municipality_Reference" ref="A1:B11">
  <autoFilter ref="A1:B11" xr:uid="{00000000-0009-0000-0100-000002000000}"/>
  <tableColumns count="2">
    <tableColumn id="1" xr3:uid="{00000000-0010-0000-0100-000001000000}" name="Municipality_Code"/>
    <tableColumn id="2" xr3:uid="{00000000-0010-0000-0100-000002000000}" name="Municipality_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perty_Class_Reference" displayName="Property_Class_Reference" ref="A1:B6">
  <autoFilter ref="A1:B6" xr:uid="{00000000-0009-0000-0100-000003000000}"/>
  <tableColumns count="2">
    <tableColumn id="1" xr3:uid="{00000000-0010-0000-0200-000001000000}" name="Property_Class"/>
    <tableColumn id="2" xr3:uid="{00000000-0010-0000-0200-000002000000}" name="Descrip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x_Rate_Reference" displayName="Tax_Rate_Reference" ref="A1:C51">
  <autoFilter ref="A1:C51" xr:uid="{00000000-0009-0000-0100-000004000000}"/>
  <tableColumns count="3">
    <tableColumn id="1" xr3:uid="{00000000-0010-0000-0300-000001000000}" name="Municipality_Code"/>
    <tableColumn id="2" xr3:uid="{00000000-0010-0000-0300-000002000000}" name="Property_Class"/>
    <tableColumn id="3" xr3:uid="{00000000-0010-0000-0300-000003000000}" name="Tax_R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DAAB146-B467-435C-9A9F-47D6329DF13A}" name="Assessed_Value_Stats_1" displayName="Assessed_Value_Stats_1" ref="A1:C2" tableType="queryTable" totalsRowShown="0">
  <autoFilter ref="A1:C2" xr:uid="{CDAAB146-B467-435C-9A9F-47D6329DF13A}"/>
  <tableColumns count="3">
    <tableColumn id="1" xr3:uid="{8A980456-71DB-46F7-B912-AA5CA0AAE772}" uniqueName="1" name="Mean_Assessed_Value" queryTableFieldId="1"/>
    <tableColumn id="2" xr3:uid="{D15099C3-D5EA-47C5-89EF-4B3075C4A57D}" uniqueName="2" name="StdDev_Assessed_Value" queryTableFieldId="2"/>
    <tableColumn id="3" xr3:uid="{C27FE46D-C31C-4353-90A5-03E28D368CB4}" uniqueName="3" name="JoinKey"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4D9294-F788-424C-8462-3F4B1498EC3F}" name="Roll_Number_Count" displayName="Roll_Number_Count" ref="A1:B491" tableType="queryTable" totalsRowShown="0">
  <autoFilter ref="A1:B491" xr:uid="{5F4D9294-F788-424C-8462-3F4B1498EC3F}"/>
  <tableColumns count="2">
    <tableColumn id="1" xr3:uid="{CEC5A5FB-6E9A-4486-8759-20C744EE9776}" uniqueName="1" name="Roll_Number" queryTableFieldId="1" dataDxfId="47"/>
    <tableColumn id="2" xr3:uid="{B432AE73-21FA-431D-8EA9-28D37116D8F2}" uniqueName="2" name="Roll_Count"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B71A544-BD63-4F14-8972-CF272305E39E}" name="Data_Quality_Issues" displayName="Data_Quality_Issues" ref="A1:AD112" tableType="queryTable" totalsRowShown="0">
  <autoFilter ref="A1:AD112" xr:uid="{4B71A544-BD63-4F14-8972-CF272305E39E}"/>
  <tableColumns count="30">
    <tableColumn id="1" xr3:uid="{BC467FF6-CEA3-4FB6-97A7-BAFDA1110DF7}" uniqueName="1" name="Roll_Number" queryTableFieldId="1" dataDxfId="46"/>
    <tableColumn id="2" xr3:uid="{8A48DFE3-F035-4181-9DF1-91A232227CDA}" uniqueName="2" name="Municipality_Code" queryTableFieldId="2" dataDxfId="45"/>
    <tableColumn id="3" xr3:uid="{883F96D5-A79F-46A6-8E86-4944FCDAE4D3}" uniqueName="3" name="Municipality_Name" queryTableFieldId="3" dataDxfId="44"/>
    <tableColumn id="4" xr3:uid="{5384C713-8E8B-402D-876C-CF4768C73977}" uniqueName="4" name="Property_Class" queryTableFieldId="4" dataDxfId="43"/>
    <tableColumn id="5" xr3:uid="{E3BC0C87-90AF-4D32-BE59-989429E2FD93}" uniqueName="5" name="Assessment_Year" queryTableFieldId="5"/>
    <tableColumn id="6" xr3:uid="{6CF1E42C-1D5A-4309-A0A9-D2E58FE6027C}" uniqueName="6" name="Assessed_Value" queryTableFieldId="6"/>
    <tableColumn id="7" xr3:uid="{748D4D13-6897-48B1-8E4D-B0C7714A3BEE}" uniqueName="7" name="Tax_Rate" queryTableFieldId="7"/>
    <tableColumn id="8" xr3:uid="{649BDB17-05BF-4BDA-942F-ECF196B0D796}" uniqueName="8" name="Calculated_Tax" queryTableFieldId="8"/>
    <tableColumn id="9" xr3:uid="{B9FE8C43-0E85-4890-9E37-1CC088C872E6}" uniqueName="9" name="Address" queryTableFieldId="9" dataDxfId="42"/>
    <tableColumn id="10" xr3:uid="{ABC92AF0-4CE6-4146-84C9-87428B262674}" uniqueName="10" name="Postal_Code" queryTableFieldId="10" dataDxfId="41"/>
    <tableColumn id="11" xr3:uid="{6F629819-C381-4255-AAEC-0602F6AE13FB}" uniqueName="11" name="Owner_Name" queryTableFieldId="11" dataDxfId="40"/>
    <tableColumn id="12" xr3:uid="{35D0FCFD-32EC-490F-94CE-2EE3944B73BC}" uniqueName="12" name="Sale_Price" queryTableFieldId="12"/>
    <tableColumn id="13" xr3:uid="{F698E234-E62F-4AEF-9F0D-C358E4635596}" uniqueName="13" name="Sale_Date" queryTableFieldId="13" dataDxfId="39"/>
    <tableColumn id="14" xr3:uid="{030114C3-618E-4159-8227-E3FD4DF7E1E1}" uniqueName="14" name="Expected_Municipality_Name" queryTableFieldId="14" dataDxfId="38"/>
    <tableColumn id="15" xr3:uid="{086D9085-26CA-4743-A423-6EC4473CE504}" uniqueName="15" name="Expected_Tax_Rate" queryTableFieldId="15"/>
    <tableColumn id="16" xr3:uid="{A563730E-3B0D-4839-A50F-CED091342289}" uniqueName="16" name="Roll_Count" queryTableFieldId="16"/>
    <tableColumn id="17" xr3:uid="{28872EBB-C519-4034-AFB9-CD821A417F43}" uniqueName="17" name="Property_Class_Description" queryTableFieldId="17" dataDxfId="37"/>
    <tableColumn id="18" xr3:uid="{C1E9C8F7-D1CC-4759-BD83-EBECDC88662F}" uniqueName="18" name="Municipality_Code_Check" queryTableFieldId="18" dataDxfId="36"/>
    <tableColumn id="19" xr3:uid="{65EF28ED-FEA4-4838-AA3F-047C729AF715}" uniqueName="19" name="Municipality_Name_Check" queryTableFieldId="19" dataDxfId="35"/>
    <tableColumn id="20" xr3:uid="{56707793-2731-43B6-BF42-7A8581B75DE2}" uniqueName="20" name="Tax_Check" queryTableFieldId="20" dataDxfId="34"/>
    <tableColumn id="21" xr3:uid="{4976C45C-39C2-4CFB-9D25-6473AF6FD694}" uniqueName="21" name="Duplicate_Check" queryTableFieldId="21" dataDxfId="33"/>
    <tableColumn id="22" xr3:uid="{276B986C-91D6-4F73-AC07-A67FF41B7627}" uniqueName="22" name="Postal_Code_Check" queryTableFieldId="22" dataDxfId="32"/>
    <tableColumn id="23" xr3:uid="{538CF071-819E-4083-BAA3-0CFD29A616EE}" uniqueName="23" name="Property_Class_Check" queryTableFieldId="23" dataDxfId="31"/>
    <tableColumn id="24" xr3:uid="{F03172AD-2CEB-4350-B509-A46EBE847F88}" uniqueName="24" name="Sale_Date_Check" queryTableFieldId="24" dataDxfId="30"/>
    <tableColumn id="25" xr3:uid="{9A85A464-A448-4D9A-967A-991D9271E253}" uniqueName="25" name="Completeness_Check" queryTableFieldId="25" dataDxfId="29"/>
    <tableColumn id="26" xr3:uid="{A682DB35-769C-4E51-805B-6F8DACABA0BE}" uniqueName="26" name="Mean_Assessed_Value" queryTableFieldId="26"/>
    <tableColumn id="27" xr3:uid="{DC524239-5FA3-4944-A393-723D82C932EC}" uniqueName="27" name="StdDev_Assessed_Value" queryTableFieldId="27"/>
    <tableColumn id="28" xr3:uid="{C3D28574-B6FE-4B5C-AF96-3D7D6AD4307B}" uniqueName="28" name="Outlier_Check" queryTableFieldId="28" dataDxfId="28"/>
    <tableColumn id="29" xr3:uid="{5DA8CECB-7B0F-4C99-864B-003DE8E0D1B2}" uniqueName="29" name="Overall_Status" queryTableFieldId="29" dataDxfId="27"/>
    <tableColumn id="30" xr3:uid="{D0E7B8BD-B3A6-47D6-A7AF-4C59C46404CE}" uniqueName="30" name="Issue_Reason" queryTableFieldId="30" dataDxfId="2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F514A2C-C3E4-40C1-BFF9-180C232A6CC9}" name="Clean_Data" displayName="Clean_Data" ref="A1:AC501" tableType="queryTable" totalsRowShown="0">
  <autoFilter ref="A1:AC501" xr:uid="{DF514A2C-C3E4-40C1-BFF9-180C232A6CC9}"/>
  <tableColumns count="29">
    <tableColumn id="1" xr3:uid="{F3F64B8C-A01E-45F7-9CDC-F2712F6953BC}" uniqueName="1" name="Roll_Number" queryTableFieldId="1" dataDxfId="25"/>
    <tableColumn id="2" xr3:uid="{B6440BCC-487D-4096-ACF9-00071BA99EEC}" uniqueName="2" name="Municipality_Code" queryTableFieldId="2" dataDxfId="24"/>
    <tableColumn id="3" xr3:uid="{B02BFB81-6897-4C8D-AA13-B68830110937}" uniqueName="3" name="Municipality_Name" queryTableFieldId="3" dataDxfId="23"/>
    <tableColumn id="4" xr3:uid="{167035BB-E757-4603-AEB9-74323869E80A}" uniqueName="4" name="Property_Class" queryTableFieldId="4" dataDxfId="22"/>
    <tableColumn id="5" xr3:uid="{367C35C3-F230-45DB-8A44-AB3DB49833FC}" uniqueName="5" name="Assessment_Year" queryTableFieldId="5"/>
    <tableColumn id="6" xr3:uid="{40F64448-5F24-4FF4-93BA-58CA83F3743E}" uniqueName="6" name="Assessed_Value" queryTableFieldId="6"/>
    <tableColumn id="7" xr3:uid="{E4A20AB9-7D49-46B1-AE76-F38E4F76CB15}" uniqueName="7" name="Tax_Rate" queryTableFieldId="7"/>
    <tableColumn id="8" xr3:uid="{E776C647-5642-48A4-A6DD-34A12C52E5F5}" uniqueName="8" name="Calculated_Tax" queryTableFieldId="8"/>
    <tableColumn id="9" xr3:uid="{376B14A2-9AA9-4D0B-AD9E-F2ECA4D17CED}" uniqueName="9" name="Address" queryTableFieldId="9" dataDxfId="21"/>
    <tableColumn id="10" xr3:uid="{E1F96771-3F7B-48EE-AC19-56FDA13C49A6}" uniqueName="10" name="Postal_Code" queryTableFieldId="10" dataDxfId="20"/>
    <tableColumn id="11" xr3:uid="{58C5690B-D365-4480-83CD-BAD451E56974}" uniqueName="11" name="Owner_Name" queryTableFieldId="11" dataDxfId="19"/>
    <tableColumn id="12" xr3:uid="{671BC1A6-8B84-498E-8DE0-8466E7562829}" uniqueName="12" name="Sale_Price" queryTableFieldId="12"/>
    <tableColumn id="13" xr3:uid="{9C9F813C-0DC5-4618-B864-FAB38CB6895B}" uniqueName="13" name="Sale_Date" queryTableFieldId="13" dataDxfId="18"/>
    <tableColumn id="14" xr3:uid="{0B1C8404-25AD-4DA3-9ECF-78E473328C23}" uniqueName="14" name="Expected_Municipality_Name" queryTableFieldId="14" dataDxfId="17"/>
    <tableColumn id="15" xr3:uid="{72EB9B94-C9EA-4CF7-BDE5-FC49C8CB6635}" uniqueName="15" name="Expected_Tax_Rate" queryTableFieldId="15"/>
    <tableColumn id="16" xr3:uid="{EA132889-C09A-4381-A1E2-501F37C6FD04}" uniqueName="16" name="Roll_Count" queryTableFieldId="16"/>
    <tableColumn id="17" xr3:uid="{73F24AB1-9A8B-4607-81D1-3003EB2CAB0C}" uniqueName="17" name="Property_Class_Description" queryTableFieldId="17" dataDxfId="16"/>
    <tableColumn id="18" xr3:uid="{D3584FEB-7D3D-4426-96CD-E271AD70F6F7}" uniqueName="18" name="Municipality_Code_Check" queryTableFieldId="18" dataDxfId="15"/>
    <tableColumn id="19" xr3:uid="{BF1D391C-2666-47AC-9AA3-9BFA6FC51814}" uniqueName="19" name="Municipality_Name_Check" queryTableFieldId="19" dataDxfId="14"/>
    <tableColumn id="20" xr3:uid="{17324901-E8F4-484F-8789-B1008AEDE5F5}" uniqueName="20" name="Tax_Check" queryTableFieldId="20" dataDxfId="13"/>
    <tableColumn id="21" xr3:uid="{AB1B39FD-DCC8-40E7-A0B5-6D3BFFB317A2}" uniqueName="21" name="Duplicate_Check" queryTableFieldId="21" dataDxfId="12"/>
    <tableColumn id="22" xr3:uid="{88AF3A9E-C629-47FD-B34A-37357835C46E}" uniqueName="22" name="Postal_Code_Check" queryTableFieldId="22" dataDxfId="11"/>
    <tableColumn id="23" xr3:uid="{6815E69A-4425-4CDB-92B6-0AD856A3FCED}" uniqueName="23" name="Property_Class_Check" queryTableFieldId="23" dataDxfId="10"/>
    <tableColumn id="24" xr3:uid="{D34E332D-F69D-410B-95AF-A260F998FA5F}" uniqueName="24" name="Sale_Date_Check" queryTableFieldId="24" dataDxfId="9"/>
    <tableColumn id="25" xr3:uid="{6C154CB6-D83C-4310-9D1B-AD87CB1CF1B1}" uniqueName="25" name="Completeness_Check" queryTableFieldId="25" dataDxfId="8"/>
    <tableColumn id="26" xr3:uid="{C4B0AFA9-888B-4980-9768-2E74DF185FFB}" uniqueName="26" name="Mean_Assessed_Value" queryTableFieldId="26"/>
    <tableColumn id="27" xr3:uid="{3EFA941E-E13C-43BA-BEE2-D437333AFD81}" uniqueName="27" name="StdDev_Assessed_Value" queryTableFieldId="27"/>
    <tableColumn id="28" xr3:uid="{9299963D-A71A-4BB3-A52A-D380B3E72FD1}" uniqueName="28" name="Outlier_Check" queryTableFieldId="28" dataDxfId="7"/>
    <tableColumn id="29" xr3:uid="{1C37A513-1D78-4FED-BA01-652FD1CD07D5}" uniqueName="29" name="Overall_Status" queryTableFieldId="29"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election activeCell="B15" sqref="B15"/>
    </sheetView>
  </sheetViews>
  <sheetFormatPr defaultRowHeight="14.5"/>
  <cols>
    <col min="1" max="1" width="24" customWidth="1"/>
    <col min="2" max="2" width="95" customWidth="1"/>
  </cols>
  <sheetData>
    <row r="1" spans="1:2" ht="21">
      <c r="A1" s="1" t="s">
        <v>0</v>
      </c>
    </row>
    <row r="3" spans="1:2">
      <c r="A3" s="2" t="s">
        <v>1</v>
      </c>
    </row>
    <row r="4" spans="1:2">
      <c r="A4" t="s">
        <v>1883</v>
      </c>
    </row>
    <row r="6" spans="1:2">
      <c r="A6" s="2" t="s">
        <v>2</v>
      </c>
    </row>
    <row r="7" spans="1:2">
      <c r="A7" t="s">
        <v>3</v>
      </c>
      <c r="B7" t="s">
        <v>4</v>
      </c>
    </row>
    <row r="8" spans="1:2">
      <c r="A8" t="s">
        <v>5</v>
      </c>
      <c r="B8" t="s">
        <v>6</v>
      </c>
    </row>
    <row r="9" spans="1:2">
      <c r="A9" t="s">
        <v>7</v>
      </c>
      <c r="B9" t="s">
        <v>8</v>
      </c>
    </row>
    <row r="10" spans="1:2">
      <c r="A10" t="s">
        <v>9</v>
      </c>
      <c r="B10" t="s">
        <v>10</v>
      </c>
    </row>
    <row r="11" spans="1:2">
      <c r="A11" t="s">
        <v>11</v>
      </c>
      <c r="B11" t="s">
        <v>12</v>
      </c>
    </row>
    <row r="12" spans="1:2">
      <c r="A12" t="s">
        <v>13</v>
      </c>
      <c r="B12" t="s">
        <v>14</v>
      </c>
    </row>
    <row r="13" spans="1:2">
      <c r="A13" t="s">
        <v>15</v>
      </c>
      <c r="B13" t="s">
        <v>16</v>
      </c>
    </row>
    <row r="16" spans="1:2">
      <c r="A16" s="2" t="s">
        <v>17</v>
      </c>
    </row>
    <row r="17" spans="1:2">
      <c r="A17" t="s">
        <v>18</v>
      </c>
      <c r="B17" t="s">
        <v>19</v>
      </c>
    </row>
    <row r="18" spans="1:2">
      <c r="A18" t="s">
        <v>18</v>
      </c>
      <c r="B18" t="s">
        <v>20</v>
      </c>
    </row>
    <row r="19" spans="1:2">
      <c r="A19" t="s">
        <v>18</v>
      </c>
      <c r="B19" t="s">
        <v>21</v>
      </c>
    </row>
    <row r="20" spans="1:2">
      <c r="A20" t="s">
        <v>18</v>
      </c>
      <c r="B20" t="s">
        <v>22</v>
      </c>
    </row>
    <row r="21" spans="1:2">
      <c r="A21" t="s">
        <v>18</v>
      </c>
      <c r="B21" t="s">
        <v>23</v>
      </c>
    </row>
    <row r="22" spans="1:2">
      <c r="A22" t="s">
        <v>18</v>
      </c>
      <c r="B22" t="s">
        <v>24</v>
      </c>
    </row>
    <row r="23" spans="1:2">
      <c r="A23" t="s">
        <v>18</v>
      </c>
      <c r="B23" t="s">
        <v>25</v>
      </c>
    </row>
    <row r="24" spans="1:2">
      <c r="A24" t="s">
        <v>18</v>
      </c>
      <c r="B24" t="s">
        <v>26</v>
      </c>
    </row>
    <row r="25" spans="1:2">
      <c r="A25" t="s">
        <v>18</v>
      </c>
      <c r="B25" t="s">
        <v>27</v>
      </c>
    </row>
    <row r="26" spans="1:2">
      <c r="A26" t="s">
        <v>18</v>
      </c>
      <c r="B26" t="s">
        <v>28</v>
      </c>
    </row>
    <row r="29" spans="1:2">
      <c r="A29" s="2" t="s">
        <v>29</v>
      </c>
    </row>
    <row r="30" spans="1:2">
      <c r="A30" t="s">
        <v>18</v>
      </c>
      <c r="B30" t="s">
        <v>30</v>
      </c>
    </row>
    <row r="31" spans="1:2">
      <c r="A31" t="s">
        <v>18</v>
      </c>
      <c r="B31" t="s">
        <v>31</v>
      </c>
    </row>
    <row r="32" spans="1:2">
      <c r="A32" t="s">
        <v>18</v>
      </c>
      <c r="B32" t="s">
        <v>32</v>
      </c>
    </row>
    <row r="33" spans="1:2">
      <c r="A33" t="s">
        <v>18</v>
      </c>
      <c r="B33" t="s">
        <v>33</v>
      </c>
    </row>
    <row r="34" spans="1:2">
      <c r="A34" t="s">
        <v>18</v>
      </c>
      <c r="B34"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01"/>
  <sheetViews>
    <sheetView workbookViewId="0">
      <selection activeCell="D5" sqref="D5"/>
    </sheetView>
  </sheetViews>
  <sheetFormatPr defaultRowHeight="14.5"/>
  <cols>
    <col min="1" max="1" width="19" customWidth="1"/>
    <col min="2" max="4" width="18" customWidth="1"/>
    <col min="5" max="5" width="16" customWidth="1"/>
    <col min="6" max="6" width="15" customWidth="1"/>
    <col min="7" max="7" width="10" customWidth="1"/>
    <col min="8" max="8" width="16" customWidth="1"/>
    <col min="9" max="9" width="28" customWidth="1"/>
    <col min="10" max="10" width="12" customWidth="1"/>
    <col min="11" max="11" width="24" customWidth="1"/>
    <col min="12" max="12" width="14" customWidth="1"/>
    <col min="13" max="13" width="13" customWidth="1"/>
  </cols>
  <sheetData>
    <row r="1" spans="1:13">
      <c r="A1" s="3" t="s">
        <v>35</v>
      </c>
      <c r="B1" s="3" t="s">
        <v>36</v>
      </c>
      <c r="C1" s="3" t="s">
        <v>37</v>
      </c>
      <c r="D1" s="3" t="s">
        <v>38</v>
      </c>
      <c r="E1" s="3" t="s">
        <v>39</v>
      </c>
      <c r="F1" s="3" t="s">
        <v>40</v>
      </c>
      <c r="G1" s="3" t="s">
        <v>41</v>
      </c>
      <c r="H1" s="3" t="s">
        <v>42</v>
      </c>
      <c r="I1" s="3" t="s">
        <v>43</v>
      </c>
      <c r="J1" s="3" t="s">
        <v>44</v>
      </c>
      <c r="K1" s="3" t="s">
        <v>45</v>
      </c>
      <c r="L1" s="3" t="s">
        <v>46</v>
      </c>
      <c r="M1" s="3" t="s">
        <v>47</v>
      </c>
    </row>
    <row r="2" spans="1:13">
      <c r="A2" t="s">
        <v>48</v>
      </c>
      <c r="B2" t="s">
        <v>49</v>
      </c>
      <c r="C2" t="s">
        <v>50</v>
      </c>
      <c r="D2" t="s">
        <v>51</v>
      </c>
      <c r="E2">
        <v>2023</v>
      </c>
      <c r="F2" s="4">
        <v>599923</v>
      </c>
      <c r="G2" s="5">
        <v>1.21E-2</v>
      </c>
      <c r="H2" s="6">
        <v>7259.07</v>
      </c>
      <c r="I2" t="s">
        <v>52</v>
      </c>
      <c r="J2" t="s">
        <v>53</v>
      </c>
      <c r="K2" t="s">
        <v>54</v>
      </c>
      <c r="L2" s="4">
        <v>545503</v>
      </c>
      <c r="M2" s="7">
        <v>44238</v>
      </c>
    </row>
    <row r="3" spans="1:13">
      <c r="A3" t="s">
        <v>55</v>
      </c>
      <c r="B3" t="s">
        <v>56</v>
      </c>
      <c r="C3" t="s">
        <v>57</v>
      </c>
      <c r="D3" t="s">
        <v>58</v>
      </c>
      <c r="E3">
        <v>2022</v>
      </c>
      <c r="F3" s="4">
        <v>1593640</v>
      </c>
      <c r="G3" s="5">
        <v>9.4000000000000004E-3</v>
      </c>
      <c r="H3" s="6">
        <v>14980.22</v>
      </c>
      <c r="I3" t="s">
        <v>59</v>
      </c>
      <c r="J3" t="s">
        <v>60</v>
      </c>
      <c r="K3" t="s">
        <v>61</v>
      </c>
      <c r="L3" s="4">
        <v>1906986</v>
      </c>
      <c r="M3" s="7">
        <v>44549</v>
      </c>
    </row>
    <row r="4" spans="1:13">
      <c r="A4" t="s">
        <v>62</v>
      </c>
      <c r="B4" t="s">
        <v>63</v>
      </c>
      <c r="C4" t="s">
        <v>64</v>
      </c>
      <c r="D4" t="s">
        <v>58</v>
      </c>
      <c r="E4">
        <v>2021</v>
      </c>
      <c r="F4" s="4">
        <v>3857897</v>
      </c>
      <c r="G4" s="5">
        <v>9.4999999999999998E-3</v>
      </c>
      <c r="H4" s="6">
        <v>36650.019999999997</v>
      </c>
      <c r="I4" t="s">
        <v>65</v>
      </c>
      <c r="J4" t="s">
        <v>66</v>
      </c>
      <c r="K4" t="s">
        <v>67</v>
      </c>
      <c r="L4" s="4">
        <v>3786436</v>
      </c>
      <c r="M4" s="7">
        <v>43879</v>
      </c>
    </row>
    <row r="5" spans="1:13">
      <c r="A5" t="s">
        <v>68</v>
      </c>
      <c r="B5" t="s">
        <v>69</v>
      </c>
      <c r="C5" t="s">
        <v>70</v>
      </c>
      <c r="D5" t="s">
        <v>71</v>
      </c>
      <c r="E5">
        <v>2024</v>
      </c>
      <c r="F5" s="4">
        <v>5954495</v>
      </c>
      <c r="G5" s="5">
        <v>1.8599999999999998E-2</v>
      </c>
      <c r="H5" s="6">
        <v>110753.61</v>
      </c>
      <c r="I5" t="s">
        <v>72</v>
      </c>
      <c r="J5" t="s">
        <v>73</v>
      </c>
      <c r="K5" t="s">
        <v>74</v>
      </c>
      <c r="L5" s="4">
        <v>6692852</v>
      </c>
      <c r="M5" s="7">
        <v>45337</v>
      </c>
    </row>
    <row r="6" spans="1:13">
      <c r="A6" t="s">
        <v>75</v>
      </c>
      <c r="B6" t="s">
        <v>76</v>
      </c>
      <c r="C6" t="s">
        <v>77</v>
      </c>
      <c r="D6" t="s">
        <v>71</v>
      </c>
      <c r="E6">
        <v>2021</v>
      </c>
      <c r="F6" s="4">
        <v>3205576</v>
      </c>
      <c r="G6" s="5">
        <v>1.84E-2</v>
      </c>
      <c r="H6" s="6">
        <v>58982.6</v>
      </c>
      <c r="I6" t="s">
        <v>78</v>
      </c>
      <c r="J6" t="s">
        <v>79</v>
      </c>
      <c r="K6" t="s">
        <v>80</v>
      </c>
      <c r="L6" s="4">
        <v>3045313</v>
      </c>
      <c r="M6" s="7">
        <v>44037</v>
      </c>
    </row>
    <row r="7" spans="1:13">
      <c r="A7" t="s">
        <v>81</v>
      </c>
      <c r="B7" t="s">
        <v>76</v>
      </c>
      <c r="C7" t="s">
        <v>77</v>
      </c>
      <c r="D7" t="s">
        <v>82</v>
      </c>
      <c r="E7">
        <v>2023</v>
      </c>
      <c r="F7" s="4">
        <v>10228390</v>
      </c>
      <c r="G7" s="5">
        <v>1.47E-2</v>
      </c>
      <c r="H7" s="6">
        <v>150357.32999999999</v>
      </c>
      <c r="I7" t="s">
        <v>83</v>
      </c>
      <c r="J7" t="s">
        <v>84</v>
      </c>
      <c r="K7" t="s">
        <v>85</v>
      </c>
      <c r="L7" s="4">
        <v>9432976</v>
      </c>
      <c r="M7" s="7">
        <v>44612</v>
      </c>
    </row>
    <row r="8" spans="1:13">
      <c r="A8" t="s">
        <v>86</v>
      </c>
      <c r="B8" t="s">
        <v>87</v>
      </c>
      <c r="C8" t="s">
        <v>88</v>
      </c>
      <c r="D8" t="s">
        <v>58</v>
      </c>
      <c r="E8">
        <v>2023</v>
      </c>
      <c r="F8" s="4">
        <v>3834011</v>
      </c>
      <c r="G8" s="5">
        <v>9.4999999999999998E-3</v>
      </c>
      <c r="H8" s="6">
        <v>36423.1</v>
      </c>
      <c r="I8" t="s">
        <v>89</v>
      </c>
      <c r="J8" t="s">
        <v>90</v>
      </c>
      <c r="K8" t="s">
        <v>91</v>
      </c>
      <c r="L8" s="4">
        <v>4473090</v>
      </c>
      <c r="M8" s="7">
        <v>44870</v>
      </c>
    </row>
    <row r="9" spans="1:13">
      <c r="A9" t="s">
        <v>92</v>
      </c>
      <c r="B9" t="s">
        <v>49</v>
      </c>
      <c r="C9" t="s">
        <v>50</v>
      </c>
      <c r="D9" t="s">
        <v>71</v>
      </c>
      <c r="E9">
        <v>2022</v>
      </c>
      <c r="F9" s="4">
        <v>2728416</v>
      </c>
      <c r="G9" s="5">
        <v>1.61E-2</v>
      </c>
      <c r="H9" s="6">
        <v>49384.33</v>
      </c>
      <c r="I9" t="s">
        <v>93</v>
      </c>
      <c r="J9" t="s">
        <v>94</v>
      </c>
      <c r="K9" t="s">
        <v>95</v>
      </c>
      <c r="L9" s="4">
        <v>3154506</v>
      </c>
      <c r="M9" s="7">
        <v>43749</v>
      </c>
    </row>
    <row r="10" spans="1:13">
      <c r="A10" t="s">
        <v>96</v>
      </c>
      <c r="B10" t="s">
        <v>56</v>
      </c>
      <c r="C10" t="s">
        <v>57</v>
      </c>
      <c r="D10" t="s">
        <v>97</v>
      </c>
      <c r="E10">
        <v>2022</v>
      </c>
      <c r="F10" s="4">
        <v>3171103</v>
      </c>
      <c r="G10" s="5">
        <v>2.0400000000000001E-2</v>
      </c>
      <c r="H10" s="6">
        <v>64690.5</v>
      </c>
      <c r="I10" t="s">
        <v>84</v>
      </c>
      <c r="J10" t="s">
        <v>98</v>
      </c>
      <c r="K10" t="s">
        <v>99</v>
      </c>
      <c r="L10" s="4">
        <v>3340234</v>
      </c>
      <c r="M10" s="7">
        <v>45585</v>
      </c>
    </row>
    <row r="11" spans="1:13">
      <c r="A11" t="s">
        <v>100</v>
      </c>
      <c r="B11" t="s">
        <v>101</v>
      </c>
      <c r="C11" t="s">
        <v>102</v>
      </c>
      <c r="D11" t="s">
        <v>51</v>
      </c>
      <c r="E11">
        <v>2022</v>
      </c>
      <c r="F11" s="4">
        <v>585185</v>
      </c>
      <c r="G11" s="5">
        <v>1.29E-2</v>
      </c>
      <c r="H11" s="6">
        <v>7548.89</v>
      </c>
      <c r="I11" t="s">
        <v>103</v>
      </c>
      <c r="J11" t="s">
        <v>104</v>
      </c>
      <c r="K11" t="s">
        <v>105</v>
      </c>
      <c r="L11" s="4">
        <v>663683</v>
      </c>
      <c r="M11" s="7">
        <v>44343</v>
      </c>
    </row>
    <row r="12" spans="1:13">
      <c r="A12" t="s">
        <v>106</v>
      </c>
      <c r="B12" t="s">
        <v>56</v>
      </c>
      <c r="C12" t="s">
        <v>57</v>
      </c>
      <c r="D12" t="s">
        <v>97</v>
      </c>
      <c r="E12">
        <v>2024</v>
      </c>
      <c r="F12" s="4">
        <v>1780253</v>
      </c>
      <c r="G12" s="5">
        <v>2.0400000000000001E-2</v>
      </c>
      <c r="H12" s="6">
        <v>36317.160000000003</v>
      </c>
      <c r="I12" t="s">
        <v>107</v>
      </c>
      <c r="J12" t="s">
        <v>108</v>
      </c>
      <c r="K12" t="s">
        <v>109</v>
      </c>
      <c r="L12" s="4">
        <v>2139126</v>
      </c>
      <c r="M12" s="7">
        <v>44706</v>
      </c>
    </row>
    <row r="13" spans="1:13">
      <c r="A13" t="s">
        <v>110</v>
      </c>
      <c r="B13" t="s">
        <v>76</v>
      </c>
      <c r="C13" t="s">
        <v>77</v>
      </c>
      <c r="D13" t="s">
        <v>97</v>
      </c>
      <c r="E13">
        <v>2024</v>
      </c>
      <c r="F13" s="4">
        <v>1448346</v>
      </c>
      <c r="G13" s="5">
        <v>2.0400000000000001E-2</v>
      </c>
      <c r="H13" s="6">
        <v>29546.26</v>
      </c>
      <c r="I13" t="s">
        <v>111</v>
      </c>
      <c r="J13" t="s">
        <v>112</v>
      </c>
      <c r="K13" t="s">
        <v>113</v>
      </c>
      <c r="L13" s="4">
        <v>1387818</v>
      </c>
      <c r="M13" s="7">
        <v>45191</v>
      </c>
    </row>
    <row r="14" spans="1:13">
      <c r="A14" t="s">
        <v>114</v>
      </c>
      <c r="B14" t="s">
        <v>101</v>
      </c>
      <c r="C14" t="s">
        <v>102</v>
      </c>
      <c r="D14" t="s">
        <v>97</v>
      </c>
      <c r="E14">
        <v>2024</v>
      </c>
      <c r="F14" s="4">
        <v>4485225</v>
      </c>
      <c r="G14" s="5">
        <v>2.0899999999999998E-2</v>
      </c>
      <c r="H14" s="6">
        <v>93741.2</v>
      </c>
      <c r="I14" t="s">
        <v>115</v>
      </c>
      <c r="J14" t="s">
        <v>116</v>
      </c>
      <c r="K14" t="s">
        <v>117</v>
      </c>
      <c r="L14" s="4">
        <v>4945916</v>
      </c>
      <c r="M14" s="7">
        <v>46574</v>
      </c>
    </row>
    <row r="15" spans="1:13">
      <c r="A15" t="s">
        <v>118</v>
      </c>
      <c r="B15" t="s">
        <v>63</v>
      </c>
      <c r="C15" t="s">
        <v>64</v>
      </c>
      <c r="D15" t="s">
        <v>71</v>
      </c>
      <c r="E15">
        <v>2021</v>
      </c>
      <c r="F15" s="4">
        <v>1819106</v>
      </c>
      <c r="G15" s="5">
        <v>1.8499999999999999E-2</v>
      </c>
      <c r="H15" s="6">
        <v>33653.46</v>
      </c>
      <c r="I15" t="s">
        <v>119</v>
      </c>
      <c r="J15" t="s">
        <v>120</v>
      </c>
      <c r="K15" t="s">
        <v>121</v>
      </c>
      <c r="L15" s="4">
        <v>2005786</v>
      </c>
      <c r="M15" s="7">
        <v>43628</v>
      </c>
    </row>
    <row r="16" spans="1:13">
      <c r="A16" t="s">
        <v>122</v>
      </c>
      <c r="B16" t="s">
        <v>87</v>
      </c>
      <c r="C16" t="s">
        <v>88</v>
      </c>
      <c r="D16" t="s">
        <v>51</v>
      </c>
      <c r="E16">
        <v>2024</v>
      </c>
      <c r="F16" s="4">
        <v>896642</v>
      </c>
      <c r="G16" s="5">
        <v>1.2500000000000001E-2</v>
      </c>
      <c r="H16" s="6">
        <v>11208.03</v>
      </c>
      <c r="I16" t="s">
        <v>123</v>
      </c>
      <c r="J16" t="s">
        <v>124</v>
      </c>
      <c r="K16" t="s">
        <v>125</v>
      </c>
      <c r="L16" s="4">
        <v>950799</v>
      </c>
      <c r="M16" s="7">
        <v>45350</v>
      </c>
    </row>
    <row r="17" spans="1:13">
      <c r="A17" t="s">
        <v>126</v>
      </c>
      <c r="B17" t="s">
        <v>49</v>
      </c>
      <c r="C17" t="s">
        <v>50</v>
      </c>
      <c r="D17" t="s">
        <v>51</v>
      </c>
      <c r="E17">
        <v>2022</v>
      </c>
      <c r="F17" s="4">
        <v>775433</v>
      </c>
      <c r="G17" s="5">
        <v>1.21E-2</v>
      </c>
      <c r="H17" s="6">
        <v>9382.74</v>
      </c>
      <c r="I17" t="s">
        <v>127</v>
      </c>
      <c r="J17" t="s">
        <v>128</v>
      </c>
      <c r="K17" t="s">
        <v>129</v>
      </c>
      <c r="L17" s="4">
        <v>950770</v>
      </c>
      <c r="M17" s="7">
        <v>43890</v>
      </c>
    </row>
    <row r="18" spans="1:13">
      <c r="A18" t="s">
        <v>130</v>
      </c>
      <c r="B18" t="s">
        <v>131</v>
      </c>
      <c r="C18" t="s">
        <v>132</v>
      </c>
      <c r="D18" t="s">
        <v>71</v>
      </c>
      <c r="E18">
        <v>2021</v>
      </c>
      <c r="F18" s="4">
        <v>8673738</v>
      </c>
      <c r="G18" s="5">
        <v>1.8800000000000001E-2</v>
      </c>
      <c r="H18" s="6">
        <v>163066.26999999999</v>
      </c>
      <c r="I18" t="s">
        <v>133</v>
      </c>
      <c r="J18" t="s">
        <v>134</v>
      </c>
      <c r="K18" t="s">
        <v>135</v>
      </c>
      <c r="L18" s="4">
        <v>8086565</v>
      </c>
      <c r="M18" s="7">
        <v>45200</v>
      </c>
    </row>
    <row r="19" spans="1:13">
      <c r="A19" t="s">
        <v>136</v>
      </c>
      <c r="B19" t="s">
        <v>137</v>
      </c>
      <c r="C19" t="s">
        <v>138</v>
      </c>
      <c r="D19" t="s">
        <v>51</v>
      </c>
      <c r="E19">
        <v>2021</v>
      </c>
      <c r="F19" s="4">
        <v>658515</v>
      </c>
      <c r="G19" s="5">
        <v>1.2699999999999999E-2</v>
      </c>
      <c r="H19" s="6">
        <v>8363.14</v>
      </c>
      <c r="I19" t="s">
        <v>139</v>
      </c>
      <c r="J19" t="s">
        <v>140</v>
      </c>
      <c r="K19" t="s">
        <v>141</v>
      </c>
      <c r="L19" s="4">
        <v>718411</v>
      </c>
      <c r="M19" s="7">
        <v>46526</v>
      </c>
    </row>
    <row r="20" spans="1:13">
      <c r="A20" t="s">
        <v>142</v>
      </c>
      <c r="B20" t="s">
        <v>87</v>
      </c>
      <c r="C20" t="s">
        <v>84</v>
      </c>
      <c r="D20" t="s">
        <v>82</v>
      </c>
      <c r="E20">
        <v>2022</v>
      </c>
      <c r="F20" s="4">
        <v>6332407</v>
      </c>
      <c r="G20" s="5">
        <v>1.4800000000000001E-2</v>
      </c>
      <c r="H20" s="6">
        <v>93719.62</v>
      </c>
      <c r="I20" t="s">
        <v>143</v>
      </c>
      <c r="J20" t="s">
        <v>144</v>
      </c>
      <c r="K20" t="s">
        <v>141</v>
      </c>
      <c r="L20" s="4">
        <v>7750976</v>
      </c>
      <c r="M20" s="7">
        <v>44435</v>
      </c>
    </row>
    <row r="21" spans="1:13">
      <c r="A21" t="s">
        <v>145</v>
      </c>
      <c r="B21" t="s">
        <v>131</v>
      </c>
      <c r="C21" t="s">
        <v>132</v>
      </c>
      <c r="D21" t="s">
        <v>97</v>
      </c>
      <c r="E21">
        <v>2024</v>
      </c>
      <c r="F21" s="4">
        <v>840823</v>
      </c>
      <c r="G21" s="5">
        <v>2.0799999999999999E-2</v>
      </c>
      <c r="H21" s="6">
        <v>17489.12</v>
      </c>
      <c r="I21" t="s">
        <v>146</v>
      </c>
      <c r="J21" t="s">
        <v>147</v>
      </c>
      <c r="K21" t="s">
        <v>148</v>
      </c>
      <c r="L21" s="4">
        <v>997052</v>
      </c>
      <c r="M21" s="7">
        <v>45139</v>
      </c>
    </row>
    <row r="22" spans="1:13">
      <c r="A22" t="s">
        <v>149</v>
      </c>
      <c r="B22" t="s">
        <v>150</v>
      </c>
      <c r="C22" t="s">
        <v>151</v>
      </c>
      <c r="D22" t="s">
        <v>71</v>
      </c>
      <c r="E22">
        <v>2022</v>
      </c>
      <c r="F22" s="4">
        <v>3170497</v>
      </c>
      <c r="G22" s="5">
        <v>1.83E-2</v>
      </c>
      <c r="H22" s="6">
        <v>58020.1</v>
      </c>
      <c r="I22" t="s">
        <v>152</v>
      </c>
      <c r="J22" t="s">
        <v>153</v>
      </c>
      <c r="K22" t="s">
        <v>154</v>
      </c>
      <c r="L22" s="4">
        <v>3826674</v>
      </c>
      <c r="M22" s="7">
        <v>44535</v>
      </c>
    </row>
    <row r="23" spans="1:13">
      <c r="A23" t="s">
        <v>155</v>
      </c>
      <c r="B23" t="s">
        <v>131</v>
      </c>
      <c r="C23" t="s">
        <v>132</v>
      </c>
      <c r="D23" t="s">
        <v>82</v>
      </c>
      <c r="E23">
        <v>2023</v>
      </c>
      <c r="F23" s="4">
        <v>2221996</v>
      </c>
      <c r="G23" s="5">
        <v>1.5100000000000001E-2</v>
      </c>
      <c r="H23" s="6">
        <v>33552.14</v>
      </c>
      <c r="I23" t="s">
        <v>156</v>
      </c>
      <c r="J23" t="s">
        <v>157</v>
      </c>
      <c r="K23" t="s">
        <v>158</v>
      </c>
      <c r="L23" s="4">
        <v>2404138</v>
      </c>
      <c r="M23" s="7">
        <v>45482</v>
      </c>
    </row>
    <row r="24" spans="1:13">
      <c r="A24" t="s">
        <v>159</v>
      </c>
      <c r="B24" t="s">
        <v>56</v>
      </c>
      <c r="C24" t="s">
        <v>57</v>
      </c>
      <c r="D24" t="s">
        <v>97</v>
      </c>
      <c r="E24">
        <v>2023</v>
      </c>
      <c r="F24" s="4">
        <v>2342694</v>
      </c>
      <c r="G24" s="5">
        <v>2.0400000000000001E-2</v>
      </c>
      <c r="H24" s="6">
        <v>47790.96</v>
      </c>
      <c r="I24" t="s">
        <v>160</v>
      </c>
      <c r="J24" t="s">
        <v>161</v>
      </c>
      <c r="K24" t="s">
        <v>162</v>
      </c>
      <c r="L24" s="4">
        <v>2265723</v>
      </c>
      <c r="M24" s="7">
        <v>45192</v>
      </c>
    </row>
    <row r="25" spans="1:13">
      <c r="A25" t="s">
        <v>163</v>
      </c>
      <c r="B25" t="s">
        <v>69</v>
      </c>
      <c r="C25" t="s">
        <v>70</v>
      </c>
      <c r="D25" t="s">
        <v>97</v>
      </c>
      <c r="E25">
        <v>2023</v>
      </c>
      <c r="F25" s="4">
        <v>19873169</v>
      </c>
      <c r="G25" s="5">
        <v>2.06E-2</v>
      </c>
      <c r="H25" s="6">
        <v>46606.92</v>
      </c>
      <c r="I25" t="s">
        <v>164</v>
      </c>
      <c r="J25" t="s">
        <v>165</v>
      </c>
      <c r="K25" t="s">
        <v>166</v>
      </c>
      <c r="L25" s="4">
        <v>2103371</v>
      </c>
      <c r="M25" s="7">
        <v>44886</v>
      </c>
    </row>
    <row r="26" spans="1:13">
      <c r="A26" t="s">
        <v>167</v>
      </c>
      <c r="B26" t="s">
        <v>87</v>
      </c>
      <c r="C26" t="s">
        <v>88</v>
      </c>
      <c r="D26" t="s">
        <v>71</v>
      </c>
      <c r="E26">
        <v>2021</v>
      </c>
      <c r="F26" s="4">
        <v>7732008</v>
      </c>
      <c r="G26" s="5">
        <v>1.8499999999999999E-2</v>
      </c>
      <c r="H26" s="6">
        <v>143042.15</v>
      </c>
      <c r="I26" t="s">
        <v>168</v>
      </c>
      <c r="J26" t="s">
        <v>169</v>
      </c>
      <c r="K26" t="s">
        <v>170</v>
      </c>
      <c r="L26" s="4">
        <v>8080369</v>
      </c>
      <c r="M26" s="7">
        <v>44262</v>
      </c>
    </row>
    <row r="27" spans="1:13">
      <c r="A27" t="s">
        <v>171</v>
      </c>
      <c r="B27" t="s">
        <v>69</v>
      </c>
      <c r="C27" t="s">
        <v>70</v>
      </c>
      <c r="D27" t="s">
        <v>58</v>
      </c>
      <c r="E27">
        <v>2024</v>
      </c>
      <c r="F27" s="4">
        <v>1094966</v>
      </c>
      <c r="G27" s="5">
        <v>9.5999999999999992E-3</v>
      </c>
      <c r="H27" s="6">
        <v>10411.67</v>
      </c>
      <c r="I27" t="s">
        <v>172</v>
      </c>
      <c r="J27" t="s">
        <v>173</v>
      </c>
      <c r="K27" t="s">
        <v>174</v>
      </c>
      <c r="L27" s="4">
        <v>1036570</v>
      </c>
      <c r="M27" s="7">
        <v>45148</v>
      </c>
    </row>
    <row r="28" spans="1:13">
      <c r="A28" t="s">
        <v>175</v>
      </c>
      <c r="B28" t="s">
        <v>56</v>
      </c>
      <c r="C28" t="s">
        <v>57</v>
      </c>
      <c r="D28" t="s">
        <v>82</v>
      </c>
      <c r="E28">
        <v>2023</v>
      </c>
      <c r="F28" s="4">
        <v>14546372</v>
      </c>
      <c r="G28" s="5">
        <v>1.47E-2</v>
      </c>
      <c r="H28" s="6">
        <v>213831.67</v>
      </c>
      <c r="I28" t="s">
        <v>176</v>
      </c>
      <c r="J28" t="s">
        <v>177</v>
      </c>
      <c r="K28" t="s">
        <v>178</v>
      </c>
      <c r="L28" s="4">
        <v>17051056</v>
      </c>
      <c r="M28" s="7">
        <v>44823</v>
      </c>
    </row>
    <row r="29" spans="1:13">
      <c r="A29" t="s">
        <v>179</v>
      </c>
      <c r="B29" t="s">
        <v>76</v>
      </c>
      <c r="C29" t="s">
        <v>77</v>
      </c>
      <c r="D29" t="s">
        <v>71</v>
      </c>
      <c r="E29">
        <v>2024</v>
      </c>
      <c r="F29" s="4">
        <v>2115456</v>
      </c>
      <c r="G29" s="5">
        <v>1.84E-2</v>
      </c>
      <c r="H29" s="6">
        <v>38924.39</v>
      </c>
      <c r="I29" t="s">
        <v>180</v>
      </c>
      <c r="J29" t="s">
        <v>181</v>
      </c>
      <c r="K29" t="s">
        <v>182</v>
      </c>
      <c r="L29" s="4">
        <v>2211083</v>
      </c>
      <c r="M29" s="7">
        <v>44874</v>
      </c>
    </row>
    <row r="30" spans="1:13">
      <c r="A30" t="s">
        <v>183</v>
      </c>
      <c r="B30" t="s">
        <v>56</v>
      </c>
      <c r="C30" t="s">
        <v>57</v>
      </c>
      <c r="D30" t="s">
        <v>58</v>
      </c>
      <c r="E30">
        <v>2024</v>
      </c>
      <c r="F30" s="4">
        <v>635105</v>
      </c>
      <c r="G30" s="5">
        <v>9.4000000000000004E-3</v>
      </c>
      <c r="H30" s="6">
        <v>5969.99</v>
      </c>
      <c r="I30" t="s">
        <v>184</v>
      </c>
      <c r="J30" t="s">
        <v>185</v>
      </c>
      <c r="K30" t="s">
        <v>186</v>
      </c>
      <c r="L30" s="4">
        <v>691234</v>
      </c>
      <c r="M30" s="7">
        <v>45701</v>
      </c>
    </row>
    <row r="31" spans="1:13">
      <c r="A31" t="s">
        <v>187</v>
      </c>
      <c r="B31" t="s">
        <v>56</v>
      </c>
      <c r="C31" t="s">
        <v>57</v>
      </c>
      <c r="D31" t="s">
        <v>82</v>
      </c>
      <c r="E31">
        <v>2022</v>
      </c>
      <c r="F31" s="4">
        <v>6946489</v>
      </c>
      <c r="G31" s="5">
        <v>1.47E-2</v>
      </c>
      <c r="H31" s="6">
        <v>102113.39</v>
      </c>
      <c r="I31" t="s">
        <v>188</v>
      </c>
      <c r="J31" t="s">
        <v>189</v>
      </c>
      <c r="K31" t="s">
        <v>190</v>
      </c>
      <c r="L31" s="4">
        <v>7863772</v>
      </c>
      <c r="M31" s="7">
        <v>43809</v>
      </c>
    </row>
    <row r="32" spans="1:13">
      <c r="A32" t="s">
        <v>191</v>
      </c>
      <c r="B32" t="s">
        <v>69</v>
      </c>
      <c r="C32" t="s">
        <v>70</v>
      </c>
      <c r="D32" t="s">
        <v>97</v>
      </c>
      <c r="E32">
        <v>2024</v>
      </c>
      <c r="F32" s="4">
        <v>1593631</v>
      </c>
      <c r="G32" s="5">
        <v>2.06E-2</v>
      </c>
      <c r="H32" s="6">
        <v>32828.800000000003</v>
      </c>
      <c r="I32" t="s">
        <v>192</v>
      </c>
      <c r="J32" t="s">
        <v>193</v>
      </c>
      <c r="K32" t="s">
        <v>194</v>
      </c>
      <c r="L32" s="4">
        <v>1991987</v>
      </c>
      <c r="M32" s="7">
        <v>44913</v>
      </c>
    </row>
    <row r="33" spans="1:13">
      <c r="A33" t="s">
        <v>195</v>
      </c>
      <c r="B33" t="s">
        <v>76</v>
      </c>
      <c r="C33" t="s">
        <v>77</v>
      </c>
      <c r="D33" t="s">
        <v>51</v>
      </c>
      <c r="E33">
        <v>2021</v>
      </c>
      <c r="F33" s="4">
        <v>988994</v>
      </c>
      <c r="G33" s="5">
        <v>1.24E-2</v>
      </c>
      <c r="H33" s="6">
        <v>12263.53</v>
      </c>
      <c r="I33" t="s">
        <v>196</v>
      </c>
      <c r="J33" t="s">
        <v>197</v>
      </c>
      <c r="K33" t="s">
        <v>198</v>
      </c>
      <c r="L33" s="4">
        <v>1173694</v>
      </c>
      <c r="M33" s="7">
        <v>44740</v>
      </c>
    </row>
    <row r="34" spans="1:13">
      <c r="A34" t="s">
        <v>199</v>
      </c>
      <c r="B34" t="s">
        <v>49</v>
      </c>
      <c r="C34" t="s">
        <v>50</v>
      </c>
      <c r="D34" t="s">
        <v>82</v>
      </c>
      <c r="E34">
        <v>2021</v>
      </c>
      <c r="F34" s="4">
        <v>13879627</v>
      </c>
      <c r="G34" s="5">
        <v>1.6899999999999998E-2</v>
      </c>
      <c r="H34" s="6">
        <v>199866.63</v>
      </c>
      <c r="I34" t="s">
        <v>200</v>
      </c>
      <c r="J34" t="s">
        <v>201</v>
      </c>
      <c r="K34" t="s">
        <v>202</v>
      </c>
      <c r="L34" s="4">
        <v>16293605</v>
      </c>
      <c r="M34" s="7">
        <v>44888</v>
      </c>
    </row>
    <row r="35" spans="1:13">
      <c r="A35" t="s">
        <v>183</v>
      </c>
      <c r="B35" t="s">
        <v>56</v>
      </c>
      <c r="C35" t="s">
        <v>57</v>
      </c>
      <c r="D35" t="s">
        <v>58</v>
      </c>
      <c r="E35">
        <v>2023</v>
      </c>
      <c r="F35" s="4">
        <v>658934</v>
      </c>
      <c r="G35" s="5">
        <v>9.4000000000000004E-3</v>
      </c>
      <c r="H35" s="6">
        <v>6193.98</v>
      </c>
      <c r="I35" t="s">
        <v>203</v>
      </c>
      <c r="J35" t="s">
        <v>204</v>
      </c>
      <c r="K35" t="s">
        <v>205</v>
      </c>
      <c r="L35" s="4">
        <v>655329</v>
      </c>
      <c r="M35" s="7">
        <v>45486</v>
      </c>
    </row>
    <row r="36" spans="1:13">
      <c r="A36" t="s">
        <v>206</v>
      </c>
      <c r="B36" t="s">
        <v>56</v>
      </c>
      <c r="C36" t="s">
        <v>57</v>
      </c>
      <c r="D36" t="s">
        <v>58</v>
      </c>
      <c r="E36">
        <v>2024</v>
      </c>
      <c r="F36" s="4">
        <v>1557887</v>
      </c>
      <c r="G36" s="5">
        <v>9.4000000000000004E-3</v>
      </c>
      <c r="H36" s="6">
        <v>14644.14</v>
      </c>
      <c r="I36" t="s">
        <v>207</v>
      </c>
      <c r="J36" t="s">
        <v>208</v>
      </c>
      <c r="K36" t="s">
        <v>209</v>
      </c>
      <c r="L36" s="4">
        <v>1417747</v>
      </c>
      <c r="M36" s="7">
        <v>44862</v>
      </c>
    </row>
    <row r="37" spans="1:13">
      <c r="A37" t="s">
        <v>210</v>
      </c>
      <c r="B37" t="s">
        <v>131</v>
      </c>
      <c r="C37" t="s">
        <v>132</v>
      </c>
      <c r="D37" t="s">
        <v>58</v>
      </c>
      <c r="E37">
        <v>2022</v>
      </c>
      <c r="F37" s="4">
        <v>1354463</v>
      </c>
      <c r="G37" s="5">
        <v>9.7999999999999997E-3</v>
      </c>
      <c r="H37" s="6">
        <v>13273.74</v>
      </c>
      <c r="I37" t="s">
        <v>211</v>
      </c>
      <c r="J37" t="s">
        <v>212</v>
      </c>
      <c r="K37" t="s">
        <v>213</v>
      </c>
      <c r="L37" s="4">
        <v>1482205</v>
      </c>
      <c r="M37" s="7">
        <v>44450</v>
      </c>
    </row>
    <row r="38" spans="1:13">
      <c r="A38" t="s">
        <v>214</v>
      </c>
      <c r="B38" t="s">
        <v>101</v>
      </c>
      <c r="C38" t="s">
        <v>102</v>
      </c>
      <c r="D38" t="s">
        <v>58</v>
      </c>
      <c r="E38">
        <v>2024</v>
      </c>
      <c r="F38" s="4">
        <v>2717984</v>
      </c>
      <c r="G38" s="5">
        <v>9.9000000000000008E-3</v>
      </c>
      <c r="H38" s="6">
        <v>26908.04</v>
      </c>
      <c r="I38" t="s">
        <v>215</v>
      </c>
      <c r="J38" t="s">
        <v>216</v>
      </c>
      <c r="K38" t="s">
        <v>217</v>
      </c>
      <c r="L38" s="4">
        <v>2780861</v>
      </c>
      <c r="M38" s="7">
        <v>45126</v>
      </c>
    </row>
    <row r="39" spans="1:13">
      <c r="A39" t="s">
        <v>218</v>
      </c>
      <c r="B39" t="s">
        <v>137</v>
      </c>
      <c r="C39" t="s">
        <v>138</v>
      </c>
      <c r="D39" t="s">
        <v>71</v>
      </c>
      <c r="E39">
        <v>2023</v>
      </c>
      <c r="F39" s="4">
        <v>3214078</v>
      </c>
      <c r="G39" s="5">
        <v>1.8700000000000001E-2</v>
      </c>
      <c r="H39" s="6">
        <v>60103.26</v>
      </c>
      <c r="I39" t="s">
        <v>219</v>
      </c>
      <c r="J39" t="s">
        <v>220</v>
      </c>
      <c r="K39" t="s">
        <v>221</v>
      </c>
      <c r="L39" s="4">
        <v>3211023</v>
      </c>
      <c r="M39" s="7">
        <v>44036</v>
      </c>
    </row>
    <row r="40" spans="1:13">
      <c r="A40" t="s">
        <v>222</v>
      </c>
      <c r="B40" t="s">
        <v>76</v>
      </c>
      <c r="C40" t="s">
        <v>77</v>
      </c>
      <c r="D40" t="s">
        <v>71</v>
      </c>
      <c r="E40">
        <v>2022</v>
      </c>
      <c r="F40" s="4">
        <v>3992728</v>
      </c>
      <c r="G40" s="5">
        <v>1.84E-2</v>
      </c>
      <c r="H40" s="6">
        <v>73466.2</v>
      </c>
      <c r="I40" t="s">
        <v>223</v>
      </c>
      <c r="J40" t="s">
        <v>224</v>
      </c>
      <c r="K40" t="s">
        <v>225</v>
      </c>
      <c r="L40" s="4">
        <v>4249416</v>
      </c>
      <c r="M40" s="7">
        <v>45270</v>
      </c>
    </row>
    <row r="41" spans="1:13">
      <c r="A41" t="s">
        <v>226</v>
      </c>
      <c r="B41" t="s">
        <v>150</v>
      </c>
      <c r="C41" t="s">
        <v>84</v>
      </c>
      <c r="D41" t="s">
        <v>97</v>
      </c>
      <c r="E41">
        <v>2021</v>
      </c>
      <c r="F41" s="4">
        <v>1806945</v>
      </c>
      <c r="G41" s="5">
        <v>2.0299999999999999E-2</v>
      </c>
      <c r="H41" s="6">
        <v>36680.980000000003</v>
      </c>
      <c r="I41" t="s">
        <v>227</v>
      </c>
      <c r="J41" t="s">
        <v>228</v>
      </c>
      <c r="K41" t="s">
        <v>229</v>
      </c>
      <c r="L41" s="4">
        <v>2109708</v>
      </c>
      <c r="M41" s="7">
        <v>44390</v>
      </c>
    </row>
    <row r="42" spans="1:13">
      <c r="A42" t="s">
        <v>230</v>
      </c>
      <c r="B42" t="s">
        <v>56</v>
      </c>
      <c r="C42" t="s">
        <v>57</v>
      </c>
      <c r="D42" t="s">
        <v>58</v>
      </c>
      <c r="E42">
        <v>2024</v>
      </c>
      <c r="F42" s="4">
        <v>3315442</v>
      </c>
      <c r="G42" s="5">
        <v>9.4000000000000004E-3</v>
      </c>
      <c r="H42" s="6">
        <v>31165.15</v>
      </c>
      <c r="I42" t="s">
        <v>231</v>
      </c>
      <c r="J42" t="s">
        <v>232</v>
      </c>
      <c r="K42" t="s">
        <v>233</v>
      </c>
      <c r="L42" s="4">
        <v>3185592</v>
      </c>
      <c r="M42" s="7">
        <v>44350</v>
      </c>
    </row>
    <row r="43" spans="1:13">
      <c r="A43" t="s">
        <v>234</v>
      </c>
      <c r="B43" t="s">
        <v>131</v>
      </c>
      <c r="C43" t="s">
        <v>132</v>
      </c>
      <c r="D43" t="s">
        <v>51</v>
      </c>
      <c r="E43">
        <v>2024</v>
      </c>
      <c r="F43" s="4">
        <v>735906</v>
      </c>
      <c r="G43" s="5">
        <v>1.2800000000000001E-2</v>
      </c>
      <c r="H43" s="6">
        <v>9419.6</v>
      </c>
      <c r="I43" t="s">
        <v>235</v>
      </c>
      <c r="J43" t="s">
        <v>236</v>
      </c>
      <c r="K43" t="s">
        <v>84</v>
      </c>
      <c r="L43" s="4">
        <v>700690</v>
      </c>
      <c r="M43" s="7">
        <v>44741</v>
      </c>
    </row>
    <row r="44" spans="1:13">
      <c r="A44" t="s">
        <v>237</v>
      </c>
      <c r="B44" t="s">
        <v>131</v>
      </c>
      <c r="C44" t="s">
        <v>132</v>
      </c>
      <c r="D44" t="s">
        <v>51</v>
      </c>
      <c r="E44">
        <v>2021</v>
      </c>
      <c r="F44" s="4">
        <v>538030</v>
      </c>
      <c r="G44" s="5">
        <v>1.2800000000000001E-2</v>
      </c>
      <c r="H44" s="6">
        <v>6886.78</v>
      </c>
      <c r="I44" t="s">
        <v>238</v>
      </c>
      <c r="J44" t="s">
        <v>239</v>
      </c>
      <c r="K44" t="s">
        <v>240</v>
      </c>
      <c r="L44" s="4">
        <v>491733</v>
      </c>
      <c r="M44" s="7">
        <v>45235</v>
      </c>
    </row>
    <row r="45" spans="1:13">
      <c r="A45" t="s">
        <v>241</v>
      </c>
      <c r="B45" t="s">
        <v>150</v>
      </c>
      <c r="C45" t="s">
        <v>151</v>
      </c>
      <c r="D45" t="s">
        <v>82</v>
      </c>
      <c r="E45">
        <v>2023</v>
      </c>
      <c r="F45" s="4">
        <v>1951447</v>
      </c>
      <c r="G45" s="5">
        <v>1.46E-2</v>
      </c>
      <c r="H45" s="6">
        <v>28491.13</v>
      </c>
      <c r="I45" t="s">
        <v>242</v>
      </c>
      <c r="J45" t="s">
        <v>243</v>
      </c>
      <c r="K45" t="s">
        <v>244</v>
      </c>
      <c r="L45" s="4">
        <v>2437222</v>
      </c>
      <c r="M45" s="7">
        <v>44723</v>
      </c>
    </row>
    <row r="46" spans="1:13">
      <c r="A46" t="s">
        <v>245</v>
      </c>
      <c r="B46" t="s">
        <v>101</v>
      </c>
      <c r="C46" t="s">
        <v>102</v>
      </c>
      <c r="D46" t="s">
        <v>51</v>
      </c>
      <c r="E46">
        <v>2024</v>
      </c>
      <c r="F46" s="4">
        <v>667659</v>
      </c>
      <c r="G46" s="5">
        <v>1.29E-2</v>
      </c>
      <c r="H46" s="6">
        <v>8612.7999999999993</v>
      </c>
      <c r="I46" t="s">
        <v>246</v>
      </c>
      <c r="J46" t="s">
        <v>247</v>
      </c>
      <c r="K46" t="s">
        <v>248</v>
      </c>
      <c r="L46" s="4">
        <v>627982</v>
      </c>
      <c r="M46" s="7">
        <v>45024</v>
      </c>
    </row>
    <row r="47" spans="1:13">
      <c r="A47" t="s">
        <v>249</v>
      </c>
      <c r="B47" t="s">
        <v>56</v>
      </c>
      <c r="C47" t="s">
        <v>57</v>
      </c>
      <c r="D47" t="s">
        <v>51</v>
      </c>
      <c r="E47">
        <v>2024</v>
      </c>
      <c r="F47" s="4">
        <v>710428</v>
      </c>
      <c r="G47" s="5">
        <v>1.24E-2</v>
      </c>
      <c r="H47" s="6">
        <v>8809.31</v>
      </c>
      <c r="I47" t="s">
        <v>250</v>
      </c>
      <c r="J47" t="s">
        <v>251</v>
      </c>
      <c r="K47" t="s">
        <v>252</v>
      </c>
      <c r="L47" s="4">
        <v>669578</v>
      </c>
      <c r="M47" s="7">
        <v>45487</v>
      </c>
    </row>
    <row r="48" spans="1:13">
      <c r="A48" t="s">
        <v>253</v>
      </c>
      <c r="B48" t="s">
        <v>87</v>
      </c>
      <c r="C48" t="s">
        <v>88</v>
      </c>
      <c r="D48" t="s">
        <v>97</v>
      </c>
      <c r="E48">
        <v>2022</v>
      </c>
      <c r="F48" s="4">
        <v>1973692</v>
      </c>
      <c r="G48" s="5">
        <v>2.0500000000000001E-2</v>
      </c>
      <c r="H48" s="6">
        <v>40460.69</v>
      </c>
      <c r="I48" t="s">
        <v>254</v>
      </c>
      <c r="J48" t="s">
        <v>255</v>
      </c>
      <c r="K48" t="s">
        <v>256</v>
      </c>
      <c r="L48" s="4">
        <v>1944690</v>
      </c>
      <c r="M48" s="7">
        <v>45723</v>
      </c>
    </row>
    <row r="49" spans="1:13">
      <c r="A49" t="s">
        <v>257</v>
      </c>
      <c r="B49" t="s">
        <v>131</v>
      </c>
      <c r="C49" t="s">
        <v>132</v>
      </c>
      <c r="D49" t="s">
        <v>58</v>
      </c>
      <c r="E49">
        <v>2022</v>
      </c>
      <c r="F49" s="4">
        <v>3405363</v>
      </c>
      <c r="G49" s="5">
        <v>9.7999999999999997E-3</v>
      </c>
      <c r="H49" s="6">
        <v>33372.559999999998</v>
      </c>
      <c r="I49" t="s">
        <v>258</v>
      </c>
      <c r="J49" t="s">
        <v>259</v>
      </c>
      <c r="K49" t="s">
        <v>260</v>
      </c>
      <c r="L49" s="4">
        <v>3241934</v>
      </c>
      <c r="M49" s="7">
        <v>45672</v>
      </c>
    </row>
    <row r="50" spans="1:13">
      <c r="A50" t="s">
        <v>261</v>
      </c>
      <c r="B50" t="s">
        <v>101</v>
      </c>
      <c r="C50" t="s">
        <v>102</v>
      </c>
      <c r="D50" t="s">
        <v>71</v>
      </c>
      <c r="E50">
        <v>2023</v>
      </c>
      <c r="F50" s="4">
        <v>5295401</v>
      </c>
      <c r="G50" s="5">
        <v>1.89E-2</v>
      </c>
      <c r="H50" s="6">
        <v>100083.08</v>
      </c>
      <c r="I50" t="s">
        <v>262</v>
      </c>
      <c r="J50" t="s">
        <v>263</v>
      </c>
      <c r="K50" t="s">
        <v>264</v>
      </c>
      <c r="L50" s="4">
        <v>6458804</v>
      </c>
      <c r="M50" s="7">
        <v>44611</v>
      </c>
    </row>
    <row r="51" spans="1:13">
      <c r="A51" t="s">
        <v>265</v>
      </c>
      <c r="B51" t="s">
        <v>69</v>
      </c>
      <c r="C51" t="s">
        <v>70</v>
      </c>
      <c r="D51" t="s">
        <v>97</v>
      </c>
      <c r="E51">
        <v>2024</v>
      </c>
      <c r="F51" s="4">
        <v>5090424</v>
      </c>
      <c r="G51" s="5">
        <v>2.06E-2</v>
      </c>
      <c r="H51" s="6">
        <v>104862.73</v>
      </c>
      <c r="I51" t="s">
        <v>266</v>
      </c>
      <c r="J51" t="s">
        <v>267</v>
      </c>
      <c r="K51" t="s">
        <v>268</v>
      </c>
      <c r="L51" s="4">
        <v>5417849</v>
      </c>
      <c r="M51" s="7">
        <v>44739</v>
      </c>
    </row>
    <row r="52" spans="1:13">
      <c r="A52" t="s">
        <v>269</v>
      </c>
      <c r="B52" t="s">
        <v>150</v>
      </c>
      <c r="C52" t="s">
        <v>151</v>
      </c>
      <c r="D52" t="s">
        <v>82</v>
      </c>
      <c r="E52">
        <v>2024</v>
      </c>
      <c r="F52" s="4">
        <v>8856806</v>
      </c>
      <c r="G52" s="5">
        <v>1.46E-2</v>
      </c>
      <c r="H52" s="6">
        <v>129309.37</v>
      </c>
      <c r="I52" t="s">
        <v>270</v>
      </c>
      <c r="J52" t="s">
        <v>271</v>
      </c>
      <c r="K52" t="s">
        <v>272</v>
      </c>
      <c r="L52" s="4">
        <v>10286013</v>
      </c>
      <c r="M52" s="7">
        <v>45085</v>
      </c>
    </row>
    <row r="53" spans="1:13">
      <c r="A53" t="s">
        <v>273</v>
      </c>
      <c r="B53" t="s">
        <v>49</v>
      </c>
      <c r="C53" t="s">
        <v>50</v>
      </c>
      <c r="D53" t="s">
        <v>51</v>
      </c>
      <c r="E53">
        <v>2024</v>
      </c>
      <c r="F53" s="4">
        <v>538414</v>
      </c>
      <c r="G53" s="5">
        <v>1.21E-2</v>
      </c>
      <c r="H53" s="6">
        <v>6514.81</v>
      </c>
      <c r="I53" t="s">
        <v>274</v>
      </c>
      <c r="J53" t="s">
        <v>275</v>
      </c>
      <c r="K53" t="s">
        <v>276</v>
      </c>
      <c r="L53" s="4">
        <v>517564</v>
      </c>
      <c r="M53" s="7">
        <v>45445</v>
      </c>
    </row>
    <row r="54" spans="1:13">
      <c r="A54" t="s">
        <v>277</v>
      </c>
      <c r="B54" t="s">
        <v>69</v>
      </c>
      <c r="C54" t="s">
        <v>70</v>
      </c>
      <c r="D54" t="s">
        <v>82</v>
      </c>
      <c r="E54">
        <v>2022</v>
      </c>
      <c r="F54" s="4">
        <v>7048885</v>
      </c>
      <c r="G54" s="5">
        <v>1.49E-2</v>
      </c>
      <c r="H54" s="6">
        <v>105028.39</v>
      </c>
      <c r="I54" t="s">
        <v>278</v>
      </c>
      <c r="J54" t="s">
        <v>279</v>
      </c>
      <c r="K54" t="s">
        <v>280</v>
      </c>
      <c r="L54" s="4">
        <v>8780642</v>
      </c>
      <c r="M54" s="7">
        <v>44691</v>
      </c>
    </row>
    <row r="55" spans="1:13">
      <c r="A55" t="s">
        <v>281</v>
      </c>
      <c r="B55" t="s">
        <v>69</v>
      </c>
      <c r="C55" t="s">
        <v>70</v>
      </c>
      <c r="D55" t="s">
        <v>71</v>
      </c>
      <c r="E55">
        <v>2024</v>
      </c>
      <c r="F55" s="4">
        <v>8060570</v>
      </c>
      <c r="G55" s="5">
        <v>1.8599999999999998E-2</v>
      </c>
      <c r="H55" s="6">
        <v>149926.6</v>
      </c>
      <c r="I55" t="s">
        <v>282</v>
      </c>
      <c r="J55" t="s">
        <v>283</v>
      </c>
      <c r="K55" t="s">
        <v>284</v>
      </c>
      <c r="L55" s="4">
        <v>8965307</v>
      </c>
      <c r="M55" s="7">
        <v>45214</v>
      </c>
    </row>
    <row r="56" spans="1:13">
      <c r="A56" t="s">
        <v>285</v>
      </c>
      <c r="B56" t="s">
        <v>137</v>
      </c>
      <c r="C56" t="s">
        <v>138</v>
      </c>
      <c r="D56" t="s">
        <v>97</v>
      </c>
      <c r="E56">
        <v>2023</v>
      </c>
      <c r="F56" s="4">
        <v>1710342</v>
      </c>
      <c r="G56" s="5">
        <v>2.07E-2</v>
      </c>
      <c r="H56" s="6">
        <v>35404.080000000002</v>
      </c>
      <c r="I56" t="s">
        <v>286</v>
      </c>
      <c r="J56" t="s">
        <v>287</v>
      </c>
      <c r="K56" t="s">
        <v>268</v>
      </c>
      <c r="L56" s="4">
        <v>2083829</v>
      </c>
      <c r="M56" s="7">
        <v>44500</v>
      </c>
    </row>
    <row r="57" spans="1:13">
      <c r="A57" t="s">
        <v>288</v>
      </c>
      <c r="B57" t="s">
        <v>69</v>
      </c>
      <c r="C57" t="s">
        <v>70</v>
      </c>
      <c r="D57" t="s">
        <v>97</v>
      </c>
      <c r="E57">
        <v>2022</v>
      </c>
      <c r="F57" s="4">
        <v>1417906</v>
      </c>
      <c r="G57" s="5">
        <v>2.06E-2</v>
      </c>
      <c r="H57" s="6">
        <v>29208.86</v>
      </c>
      <c r="I57" t="s">
        <v>289</v>
      </c>
      <c r="J57" t="s">
        <v>290</v>
      </c>
      <c r="K57" t="s">
        <v>291</v>
      </c>
      <c r="L57" s="4">
        <v>1345968</v>
      </c>
      <c r="M57" s="7">
        <v>44390</v>
      </c>
    </row>
    <row r="58" spans="1:13">
      <c r="A58" t="s">
        <v>292</v>
      </c>
      <c r="B58" t="s">
        <v>69</v>
      </c>
      <c r="C58" t="s">
        <v>70</v>
      </c>
      <c r="D58" t="s">
        <v>82</v>
      </c>
      <c r="E58">
        <v>2023</v>
      </c>
      <c r="F58" s="4">
        <v>3038341</v>
      </c>
      <c r="G58" s="5">
        <v>1.49E-2</v>
      </c>
      <c r="H58" s="6">
        <v>45271.28</v>
      </c>
      <c r="I58" t="s">
        <v>293</v>
      </c>
      <c r="J58" t="s">
        <v>294</v>
      </c>
      <c r="K58" t="s">
        <v>217</v>
      </c>
      <c r="L58" s="4">
        <v>3707808</v>
      </c>
      <c r="M58" s="7">
        <v>44284</v>
      </c>
    </row>
    <row r="59" spans="1:13">
      <c r="A59" t="s">
        <v>295</v>
      </c>
      <c r="B59" t="s">
        <v>49</v>
      </c>
      <c r="C59" t="s">
        <v>50</v>
      </c>
      <c r="D59" t="s">
        <v>58</v>
      </c>
      <c r="E59">
        <v>2023</v>
      </c>
      <c r="F59" s="4">
        <v>2180676</v>
      </c>
      <c r="G59" s="5">
        <v>9.1000000000000004E-3</v>
      </c>
      <c r="H59" s="6">
        <v>19844.150000000001</v>
      </c>
      <c r="I59" t="s">
        <v>296</v>
      </c>
      <c r="J59" t="s">
        <v>297</v>
      </c>
      <c r="K59" t="s">
        <v>298</v>
      </c>
      <c r="L59" s="4">
        <v>2687211</v>
      </c>
      <c r="M59" s="7">
        <v>45257</v>
      </c>
    </row>
    <row r="60" spans="1:13">
      <c r="A60" t="s">
        <v>299</v>
      </c>
      <c r="B60" t="s">
        <v>56</v>
      </c>
      <c r="C60" t="s">
        <v>57</v>
      </c>
      <c r="D60" t="s">
        <v>58</v>
      </c>
      <c r="E60">
        <v>2022</v>
      </c>
      <c r="F60" s="4">
        <v>3174370</v>
      </c>
      <c r="G60" s="5">
        <v>9.4000000000000004E-3</v>
      </c>
      <c r="H60" s="6">
        <v>29839.08</v>
      </c>
      <c r="I60" t="s">
        <v>300</v>
      </c>
      <c r="J60" t="s">
        <v>301</v>
      </c>
      <c r="K60" t="s">
        <v>302</v>
      </c>
      <c r="L60" s="4">
        <v>2967319</v>
      </c>
      <c r="M60" s="7">
        <v>44970</v>
      </c>
    </row>
    <row r="61" spans="1:13">
      <c r="A61" t="s">
        <v>303</v>
      </c>
      <c r="B61" t="s">
        <v>56</v>
      </c>
      <c r="C61" t="s">
        <v>84</v>
      </c>
      <c r="D61" t="s">
        <v>71</v>
      </c>
      <c r="E61">
        <v>2021</v>
      </c>
      <c r="F61" s="4">
        <v>4229631</v>
      </c>
      <c r="G61" s="5">
        <v>1.84E-2</v>
      </c>
      <c r="H61" s="6">
        <v>77825.210000000006</v>
      </c>
      <c r="I61" t="s">
        <v>304</v>
      </c>
      <c r="J61" t="s">
        <v>305</v>
      </c>
      <c r="K61" t="s">
        <v>306</v>
      </c>
      <c r="L61" s="4">
        <v>4674732</v>
      </c>
      <c r="M61" s="7">
        <v>44420</v>
      </c>
    </row>
    <row r="62" spans="1:13">
      <c r="A62" t="s">
        <v>307</v>
      </c>
      <c r="B62" t="s">
        <v>150</v>
      </c>
      <c r="C62" t="s">
        <v>151</v>
      </c>
      <c r="D62" t="s">
        <v>97</v>
      </c>
      <c r="E62">
        <v>2021</v>
      </c>
      <c r="F62" s="4">
        <v>1877077</v>
      </c>
      <c r="G62" s="5">
        <v>2.0299999999999999E-2</v>
      </c>
      <c r="H62" s="6">
        <v>38104.660000000003</v>
      </c>
      <c r="I62" t="s">
        <v>308</v>
      </c>
      <c r="J62" t="s">
        <v>309</v>
      </c>
      <c r="K62" t="s">
        <v>310</v>
      </c>
      <c r="L62" s="4">
        <v>1863710</v>
      </c>
      <c r="M62" s="7">
        <v>43985</v>
      </c>
    </row>
    <row r="63" spans="1:13">
      <c r="A63" t="s">
        <v>311</v>
      </c>
      <c r="B63" t="s">
        <v>69</v>
      </c>
      <c r="C63" t="s">
        <v>70</v>
      </c>
      <c r="D63" t="s">
        <v>82</v>
      </c>
      <c r="E63">
        <v>2021</v>
      </c>
      <c r="F63" s="4">
        <v>10207704</v>
      </c>
      <c r="G63" s="5">
        <v>1.49E-2</v>
      </c>
      <c r="H63" s="6">
        <v>152094.79</v>
      </c>
      <c r="I63" t="s">
        <v>312</v>
      </c>
      <c r="J63" t="s">
        <v>313</v>
      </c>
      <c r="K63" t="s">
        <v>314</v>
      </c>
      <c r="L63" s="4">
        <v>12754581</v>
      </c>
      <c r="M63" s="7">
        <v>45111</v>
      </c>
    </row>
    <row r="64" spans="1:13">
      <c r="A64" t="s">
        <v>315</v>
      </c>
      <c r="B64" t="s">
        <v>69</v>
      </c>
      <c r="C64" t="s">
        <v>151</v>
      </c>
      <c r="D64" t="s">
        <v>51</v>
      </c>
      <c r="E64">
        <v>2024</v>
      </c>
      <c r="F64" s="4">
        <v>947213</v>
      </c>
      <c r="G64" s="5">
        <v>1.26E-2</v>
      </c>
      <c r="H64" s="6">
        <v>11934.88</v>
      </c>
      <c r="I64" t="s">
        <v>316</v>
      </c>
      <c r="J64" t="s">
        <v>317</v>
      </c>
      <c r="K64" t="s">
        <v>318</v>
      </c>
      <c r="L64" s="4">
        <v>1002909</v>
      </c>
      <c r="M64" s="7">
        <v>45436</v>
      </c>
    </row>
    <row r="65" spans="1:13">
      <c r="A65" t="s">
        <v>319</v>
      </c>
      <c r="B65" t="s">
        <v>69</v>
      </c>
      <c r="C65" t="s">
        <v>70</v>
      </c>
      <c r="D65" t="s">
        <v>51</v>
      </c>
      <c r="E65">
        <v>2021</v>
      </c>
      <c r="F65" s="4">
        <v>1104516</v>
      </c>
      <c r="G65" s="5">
        <v>1.26E-2</v>
      </c>
      <c r="H65" s="6">
        <v>13916.9</v>
      </c>
      <c r="I65" t="s">
        <v>320</v>
      </c>
      <c r="J65" t="s">
        <v>321</v>
      </c>
      <c r="K65" t="s">
        <v>322</v>
      </c>
      <c r="L65" s="4">
        <v>1114880</v>
      </c>
      <c r="M65" s="7">
        <v>44510</v>
      </c>
    </row>
    <row r="66" spans="1:13">
      <c r="A66" t="s">
        <v>323</v>
      </c>
      <c r="B66" t="s">
        <v>150</v>
      </c>
      <c r="C66" t="s">
        <v>151</v>
      </c>
      <c r="D66" t="s">
        <v>97</v>
      </c>
      <c r="E66">
        <v>2024</v>
      </c>
      <c r="F66" s="4">
        <v>1125483</v>
      </c>
      <c r="G66" s="5">
        <v>2.0299999999999999E-2</v>
      </c>
      <c r="H66" s="6">
        <v>22847.3</v>
      </c>
      <c r="I66" t="s">
        <v>324</v>
      </c>
      <c r="J66" t="s">
        <v>325</v>
      </c>
      <c r="K66" t="s">
        <v>326</v>
      </c>
      <c r="L66" s="4">
        <v>1152224</v>
      </c>
      <c r="M66" s="7">
        <v>45559</v>
      </c>
    </row>
    <row r="67" spans="1:13">
      <c r="A67" t="s">
        <v>327</v>
      </c>
      <c r="B67" t="s">
        <v>69</v>
      </c>
      <c r="C67" t="s">
        <v>70</v>
      </c>
      <c r="D67" t="s">
        <v>51</v>
      </c>
      <c r="E67">
        <v>2023</v>
      </c>
      <c r="F67" s="4">
        <v>848414</v>
      </c>
      <c r="G67" s="5">
        <v>1.26E-2</v>
      </c>
      <c r="H67" s="6">
        <v>10690.02</v>
      </c>
      <c r="I67" t="s">
        <v>328</v>
      </c>
      <c r="J67" t="s">
        <v>329</v>
      </c>
      <c r="K67" t="s">
        <v>330</v>
      </c>
      <c r="L67" s="4">
        <v>890995</v>
      </c>
      <c r="M67" s="7">
        <v>44979</v>
      </c>
    </row>
    <row r="68" spans="1:13">
      <c r="A68" t="s">
        <v>331</v>
      </c>
      <c r="B68" t="s">
        <v>87</v>
      </c>
      <c r="C68" t="s">
        <v>88</v>
      </c>
      <c r="D68" t="s">
        <v>82</v>
      </c>
      <c r="E68">
        <v>2021</v>
      </c>
      <c r="F68" s="4">
        <v>8338294</v>
      </c>
      <c r="G68" s="5">
        <v>1.4800000000000001E-2</v>
      </c>
      <c r="H68" s="6">
        <v>123406.75</v>
      </c>
      <c r="I68" t="s">
        <v>332</v>
      </c>
      <c r="J68" t="s">
        <v>333</v>
      </c>
      <c r="K68" t="s">
        <v>334</v>
      </c>
      <c r="L68" s="4">
        <v>7918512</v>
      </c>
      <c r="M68" s="7">
        <v>43591</v>
      </c>
    </row>
    <row r="69" spans="1:13">
      <c r="A69" t="s">
        <v>335</v>
      </c>
      <c r="B69" t="s">
        <v>49</v>
      </c>
      <c r="C69" t="s">
        <v>50</v>
      </c>
      <c r="D69" t="s">
        <v>82</v>
      </c>
      <c r="E69">
        <v>2022</v>
      </c>
      <c r="F69" s="4">
        <v>5796421</v>
      </c>
      <c r="G69" s="5">
        <v>1.44E-2</v>
      </c>
      <c r="H69" s="6">
        <v>83468.460000000006</v>
      </c>
      <c r="I69" t="s">
        <v>336</v>
      </c>
      <c r="J69" t="s">
        <v>337</v>
      </c>
      <c r="K69" t="s">
        <v>338</v>
      </c>
      <c r="L69" s="4">
        <v>5382287</v>
      </c>
      <c r="M69" s="7">
        <v>45280</v>
      </c>
    </row>
    <row r="70" spans="1:13">
      <c r="A70" t="s">
        <v>339</v>
      </c>
      <c r="B70" t="s">
        <v>69</v>
      </c>
      <c r="C70" t="s">
        <v>70</v>
      </c>
      <c r="D70" t="s">
        <v>58</v>
      </c>
      <c r="E70">
        <v>2024</v>
      </c>
      <c r="F70" s="4">
        <v>1502655</v>
      </c>
      <c r="G70" s="5">
        <v>9.5999999999999992E-3</v>
      </c>
      <c r="H70" s="6">
        <v>14425.49</v>
      </c>
      <c r="I70" t="s">
        <v>340</v>
      </c>
      <c r="J70" t="s">
        <v>341</v>
      </c>
      <c r="K70" t="s">
        <v>342</v>
      </c>
      <c r="L70" s="4">
        <v>1459902</v>
      </c>
      <c r="M70" s="7">
        <v>44629</v>
      </c>
    </row>
    <row r="71" spans="1:13">
      <c r="A71" t="s">
        <v>343</v>
      </c>
      <c r="B71" t="s">
        <v>131</v>
      </c>
      <c r="C71" t="s">
        <v>132</v>
      </c>
      <c r="D71" t="s">
        <v>71</v>
      </c>
      <c r="E71">
        <v>2023</v>
      </c>
      <c r="F71" s="4">
        <v>3790081</v>
      </c>
      <c r="G71" s="5">
        <v>1.8800000000000001E-2</v>
      </c>
      <c r="H71" s="6">
        <v>71253.52</v>
      </c>
      <c r="I71" t="s">
        <v>344</v>
      </c>
      <c r="J71" t="s">
        <v>345</v>
      </c>
      <c r="K71" t="s">
        <v>346</v>
      </c>
      <c r="L71" s="4">
        <v>3435934</v>
      </c>
      <c r="M71" s="7">
        <v>45717</v>
      </c>
    </row>
    <row r="72" spans="1:13">
      <c r="A72" t="s">
        <v>347</v>
      </c>
      <c r="B72" t="s">
        <v>49</v>
      </c>
      <c r="C72" t="s">
        <v>88</v>
      </c>
      <c r="D72" t="s">
        <v>71</v>
      </c>
      <c r="E72">
        <v>2024</v>
      </c>
      <c r="F72" s="4">
        <v>5458093</v>
      </c>
      <c r="G72" s="5">
        <v>1.8100000000000002E-2</v>
      </c>
      <c r="H72" s="6">
        <v>98791.48</v>
      </c>
      <c r="I72" t="s">
        <v>348</v>
      </c>
      <c r="J72" t="s">
        <v>349</v>
      </c>
      <c r="K72" t="s">
        <v>350</v>
      </c>
      <c r="L72" s="4">
        <v>6037224</v>
      </c>
      <c r="M72" s="7">
        <v>45270</v>
      </c>
    </row>
    <row r="73" spans="1:13">
      <c r="A73" t="s">
        <v>351</v>
      </c>
      <c r="B73" t="s">
        <v>49</v>
      </c>
      <c r="C73" t="s">
        <v>50</v>
      </c>
      <c r="D73" t="s">
        <v>58</v>
      </c>
      <c r="E73">
        <v>2023</v>
      </c>
      <c r="F73" s="4">
        <v>2525579</v>
      </c>
      <c r="G73" s="5">
        <v>9.1000000000000004E-3</v>
      </c>
      <c r="H73" s="6">
        <v>22982.77</v>
      </c>
      <c r="I73" t="s">
        <v>352</v>
      </c>
      <c r="J73" t="s">
        <v>353</v>
      </c>
      <c r="K73" t="s">
        <v>354</v>
      </c>
      <c r="L73" s="4">
        <v>2363895</v>
      </c>
      <c r="M73" s="7">
        <v>44355</v>
      </c>
    </row>
    <row r="74" spans="1:13">
      <c r="A74" t="s">
        <v>355</v>
      </c>
      <c r="B74" t="s">
        <v>76</v>
      </c>
      <c r="C74" t="s">
        <v>77</v>
      </c>
      <c r="D74" t="s">
        <v>97</v>
      </c>
      <c r="E74">
        <v>2022</v>
      </c>
      <c r="F74" s="4">
        <v>3625187</v>
      </c>
      <c r="G74" s="5">
        <v>2.0400000000000001E-2</v>
      </c>
      <c r="H74" s="6">
        <v>73953.81</v>
      </c>
      <c r="I74" t="s">
        <v>356</v>
      </c>
      <c r="J74" t="s">
        <v>357</v>
      </c>
      <c r="K74" t="s">
        <v>358</v>
      </c>
      <c r="L74" s="4">
        <v>3646892</v>
      </c>
      <c r="M74" s="7"/>
    </row>
    <row r="75" spans="1:13">
      <c r="A75" t="s">
        <v>359</v>
      </c>
      <c r="B75" t="s">
        <v>87</v>
      </c>
      <c r="C75" t="s">
        <v>88</v>
      </c>
      <c r="D75" t="s">
        <v>51</v>
      </c>
      <c r="E75">
        <v>2023</v>
      </c>
      <c r="F75" s="4">
        <v>776498</v>
      </c>
      <c r="G75" s="5">
        <v>1.2500000000000001E-2</v>
      </c>
      <c r="H75" s="6">
        <v>9706.23</v>
      </c>
      <c r="I75" t="s">
        <v>360</v>
      </c>
      <c r="J75" t="s">
        <v>361</v>
      </c>
      <c r="K75" t="s">
        <v>362</v>
      </c>
      <c r="L75" s="4">
        <v>945905</v>
      </c>
      <c r="M75" s="7">
        <v>45001</v>
      </c>
    </row>
    <row r="76" spans="1:13">
      <c r="A76" t="s">
        <v>363</v>
      </c>
      <c r="B76" t="s">
        <v>76</v>
      </c>
      <c r="C76" t="s">
        <v>77</v>
      </c>
      <c r="D76" t="s">
        <v>71</v>
      </c>
      <c r="E76">
        <v>2024</v>
      </c>
      <c r="F76" s="4">
        <v>4927318</v>
      </c>
      <c r="G76" s="5">
        <v>1.84E-2</v>
      </c>
      <c r="H76" s="6">
        <v>90662.65</v>
      </c>
      <c r="I76" t="s">
        <v>364</v>
      </c>
      <c r="J76" t="s">
        <v>365</v>
      </c>
      <c r="K76" t="s">
        <v>221</v>
      </c>
      <c r="L76" s="4">
        <v>5486233</v>
      </c>
      <c r="M76" s="7">
        <v>44942</v>
      </c>
    </row>
    <row r="77" spans="1:13">
      <c r="A77" t="s">
        <v>366</v>
      </c>
      <c r="B77" t="s">
        <v>150</v>
      </c>
      <c r="C77" t="s">
        <v>151</v>
      </c>
      <c r="D77" t="s">
        <v>71</v>
      </c>
      <c r="E77">
        <v>2024</v>
      </c>
      <c r="F77" s="4">
        <v>4298555</v>
      </c>
      <c r="G77" s="5">
        <v>1.83E-2</v>
      </c>
      <c r="H77" s="6">
        <v>78663.56</v>
      </c>
      <c r="I77" t="s">
        <v>367</v>
      </c>
      <c r="J77" t="s">
        <v>368</v>
      </c>
      <c r="K77" t="s">
        <v>369</v>
      </c>
      <c r="L77" s="4">
        <v>3991319</v>
      </c>
      <c r="M77" s="7">
        <v>45556</v>
      </c>
    </row>
    <row r="78" spans="1:13">
      <c r="A78" t="s">
        <v>370</v>
      </c>
      <c r="B78" t="s">
        <v>131</v>
      </c>
      <c r="C78" t="s">
        <v>132</v>
      </c>
      <c r="D78" t="s">
        <v>71</v>
      </c>
      <c r="E78">
        <v>2023</v>
      </c>
      <c r="F78" s="4">
        <v>10199809</v>
      </c>
      <c r="G78" s="5">
        <v>1.8800000000000001E-2</v>
      </c>
      <c r="H78" s="6">
        <v>191756.41</v>
      </c>
      <c r="I78" t="s">
        <v>371</v>
      </c>
      <c r="J78" t="s">
        <v>372</v>
      </c>
      <c r="K78" t="s">
        <v>373</v>
      </c>
      <c r="L78" s="4">
        <v>11486094</v>
      </c>
      <c r="M78" s="7">
        <v>44698</v>
      </c>
    </row>
    <row r="79" spans="1:13">
      <c r="A79" t="s">
        <v>374</v>
      </c>
      <c r="B79" t="s">
        <v>56</v>
      </c>
      <c r="C79" t="s">
        <v>57</v>
      </c>
      <c r="D79" t="s">
        <v>71</v>
      </c>
      <c r="E79">
        <v>2021</v>
      </c>
      <c r="F79" s="4">
        <v>4003488</v>
      </c>
      <c r="G79" s="5">
        <v>1.84E-2</v>
      </c>
      <c r="H79" s="6">
        <v>73664.179999999993</v>
      </c>
      <c r="I79" t="s">
        <v>375</v>
      </c>
      <c r="J79" t="s">
        <v>376</v>
      </c>
      <c r="K79" t="s">
        <v>377</v>
      </c>
      <c r="L79" s="4">
        <v>4676905</v>
      </c>
      <c r="M79" s="7">
        <v>44002</v>
      </c>
    </row>
    <row r="80" spans="1:13">
      <c r="A80" t="s">
        <v>378</v>
      </c>
      <c r="B80" t="s">
        <v>87</v>
      </c>
      <c r="C80" t="s">
        <v>88</v>
      </c>
      <c r="D80" t="s">
        <v>58</v>
      </c>
      <c r="E80">
        <v>2022</v>
      </c>
      <c r="F80" s="4">
        <v>914642</v>
      </c>
      <c r="G80" s="5">
        <v>9.4999999999999998E-3</v>
      </c>
      <c r="H80" s="6">
        <v>8689.1</v>
      </c>
      <c r="I80" t="s">
        <v>379</v>
      </c>
      <c r="J80" t="s">
        <v>380</v>
      </c>
      <c r="K80" t="s">
        <v>381</v>
      </c>
      <c r="L80" s="4">
        <v>1090518</v>
      </c>
      <c r="M80" s="7">
        <v>44972</v>
      </c>
    </row>
    <row r="81" spans="1:13">
      <c r="A81" t="s">
        <v>382</v>
      </c>
      <c r="B81" t="s">
        <v>87</v>
      </c>
      <c r="C81" t="s">
        <v>88</v>
      </c>
      <c r="D81" t="s">
        <v>58</v>
      </c>
      <c r="E81">
        <v>2024</v>
      </c>
      <c r="F81" s="4">
        <v>2619604</v>
      </c>
      <c r="G81" s="5">
        <v>9.4999999999999998E-3</v>
      </c>
      <c r="H81" s="6">
        <v>24886.240000000002</v>
      </c>
      <c r="I81" t="s">
        <v>383</v>
      </c>
      <c r="J81" t="s">
        <v>384</v>
      </c>
      <c r="K81" t="s">
        <v>385</v>
      </c>
      <c r="L81" s="4">
        <v>3009900</v>
      </c>
      <c r="M81" s="7">
        <v>45253</v>
      </c>
    </row>
    <row r="82" spans="1:13">
      <c r="A82" t="s">
        <v>386</v>
      </c>
      <c r="B82" t="s">
        <v>49</v>
      </c>
      <c r="C82" t="s">
        <v>50</v>
      </c>
      <c r="D82" t="s">
        <v>71</v>
      </c>
      <c r="E82">
        <v>2021</v>
      </c>
      <c r="F82" s="4">
        <v>7125154</v>
      </c>
      <c r="G82" s="5">
        <v>1.8100000000000002E-2</v>
      </c>
      <c r="H82" s="6">
        <v>129115.29</v>
      </c>
      <c r="I82" t="s">
        <v>387</v>
      </c>
      <c r="J82" t="s">
        <v>388</v>
      </c>
      <c r="K82" t="s">
        <v>389</v>
      </c>
      <c r="L82" s="4">
        <v>7000623</v>
      </c>
      <c r="M82" s="7">
        <v>43800</v>
      </c>
    </row>
    <row r="83" spans="1:13">
      <c r="A83" t="s">
        <v>214</v>
      </c>
      <c r="B83" t="s">
        <v>150</v>
      </c>
      <c r="C83" t="s">
        <v>151</v>
      </c>
      <c r="D83" t="s">
        <v>97</v>
      </c>
      <c r="E83">
        <v>2021</v>
      </c>
      <c r="F83" s="4">
        <v>1996935</v>
      </c>
      <c r="G83" s="5">
        <v>2.0299999999999999E-2</v>
      </c>
      <c r="H83" s="6">
        <v>40537.78</v>
      </c>
      <c r="I83" t="s">
        <v>390</v>
      </c>
      <c r="J83" t="s">
        <v>391</v>
      </c>
      <c r="K83" t="s">
        <v>392</v>
      </c>
      <c r="L83" s="4">
        <v>1901745</v>
      </c>
      <c r="M83" s="7">
        <v>45627</v>
      </c>
    </row>
    <row r="84" spans="1:13">
      <c r="A84" t="s">
        <v>393</v>
      </c>
      <c r="B84" t="s">
        <v>69</v>
      </c>
      <c r="C84" t="s">
        <v>70</v>
      </c>
      <c r="D84" t="s">
        <v>51</v>
      </c>
      <c r="E84">
        <v>2023</v>
      </c>
      <c r="F84" s="4">
        <v>594703</v>
      </c>
      <c r="G84" s="5">
        <v>1.26E-2</v>
      </c>
      <c r="H84" s="6">
        <v>7493.26</v>
      </c>
      <c r="I84" t="s">
        <v>394</v>
      </c>
      <c r="J84" t="s">
        <v>395</v>
      </c>
      <c r="K84" t="s">
        <v>396</v>
      </c>
      <c r="L84" s="4">
        <v>565118</v>
      </c>
      <c r="M84" s="7">
        <v>44710</v>
      </c>
    </row>
    <row r="85" spans="1:13">
      <c r="A85" t="s">
        <v>397</v>
      </c>
      <c r="B85" t="s">
        <v>63</v>
      </c>
      <c r="C85" t="s">
        <v>64</v>
      </c>
      <c r="D85" t="s">
        <v>82</v>
      </c>
      <c r="E85">
        <v>2023</v>
      </c>
      <c r="F85" s="4">
        <v>4534945</v>
      </c>
      <c r="G85" s="5">
        <v>1.4800000000000001E-2</v>
      </c>
      <c r="H85" s="6">
        <v>67117.19</v>
      </c>
      <c r="I85" t="s">
        <v>398</v>
      </c>
      <c r="J85" t="s">
        <v>399</v>
      </c>
      <c r="K85" t="s">
        <v>400</v>
      </c>
      <c r="L85" s="4">
        <v>5090407</v>
      </c>
      <c r="M85" s="7">
        <v>44595</v>
      </c>
    </row>
    <row r="86" spans="1:13">
      <c r="A86" t="s">
        <v>401</v>
      </c>
      <c r="B86" t="s">
        <v>137</v>
      </c>
      <c r="C86" t="s">
        <v>138</v>
      </c>
      <c r="D86" t="s">
        <v>51</v>
      </c>
      <c r="E86">
        <v>2023</v>
      </c>
      <c r="F86" s="4">
        <v>1025977</v>
      </c>
      <c r="G86" s="5">
        <v>1.17E-2</v>
      </c>
      <c r="H86" s="6">
        <v>13029.91</v>
      </c>
      <c r="I86" t="s">
        <v>402</v>
      </c>
      <c r="J86" t="s">
        <v>403</v>
      </c>
      <c r="K86" t="s">
        <v>404</v>
      </c>
      <c r="L86" s="4">
        <v>1275584</v>
      </c>
      <c r="M86" s="7">
        <v>44811</v>
      </c>
    </row>
    <row r="87" spans="1:13">
      <c r="A87" t="s">
        <v>405</v>
      </c>
      <c r="B87" t="s">
        <v>131</v>
      </c>
      <c r="C87" t="s">
        <v>132</v>
      </c>
      <c r="D87" t="s">
        <v>97</v>
      </c>
      <c r="E87">
        <v>2021</v>
      </c>
      <c r="F87" s="4">
        <v>3415697</v>
      </c>
      <c r="G87" s="5">
        <v>2.0799999999999999E-2</v>
      </c>
      <c r="H87" s="6">
        <v>71046.5</v>
      </c>
      <c r="I87" t="s">
        <v>406</v>
      </c>
      <c r="J87" t="s">
        <v>407</v>
      </c>
      <c r="K87" t="s">
        <v>408</v>
      </c>
      <c r="L87" s="4">
        <v>3847493</v>
      </c>
      <c r="M87" s="7">
        <v>44637</v>
      </c>
    </row>
    <row r="88" spans="1:13">
      <c r="A88" t="s">
        <v>409</v>
      </c>
      <c r="B88" t="s">
        <v>150</v>
      </c>
      <c r="C88" t="s">
        <v>151</v>
      </c>
      <c r="D88" t="s">
        <v>51</v>
      </c>
      <c r="E88">
        <v>2023</v>
      </c>
      <c r="F88" s="4">
        <v>619606</v>
      </c>
      <c r="G88" s="5">
        <v>1.1299999999999999E-2</v>
      </c>
      <c r="H88" s="6">
        <v>7621.15</v>
      </c>
      <c r="I88" t="s">
        <v>410</v>
      </c>
      <c r="J88" t="s">
        <v>411</v>
      </c>
      <c r="K88" t="s">
        <v>412</v>
      </c>
      <c r="L88" s="4">
        <v>731384</v>
      </c>
      <c r="M88" s="7">
        <v>45320</v>
      </c>
    </row>
    <row r="89" spans="1:13">
      <c r="A89" t="s">
        <v>413</v>
      </c>
      <c r="B89" t="s">
        <v>69</v>
      </c>
      <c r="C89" t="s">
        <v>70</v>
      </c>
      <c r="D89" t="s">
        <v>51</v>
      </c>
      <c r="E89">
        <v>2024</v>
      </c>
      <c r="F89" s="4">
        <v>850082</v>
      </c>
      <c r="G89" s="5">
        <v>1.26E-2</v>
      </c>
      <c r="H89" s="6">
        <v>10711.03</v>
      </c>
      <c r="I89" t="s">
        <v>414</v>
      </c>
      <c r="J89" t="s">
        <v>415</v>
      </c>
      <c r="K89" t="s">
        <v>416</v>
      </c>
      <c r="L89" s="4">
        <v>777676</v>
      </c>
      <c r="M89" s="7"/>
    </row>
    <row r="90" spans="1:13">
      <c r="A90" t="s">
        <v>417</v>
      </c>
      <c r="B90" t="s">
        <v>87</v>
      </c>
      <c r="C90" t="s">
        <v>88</v>
      </c>
      <c r="D90" t="s">
        <v>58</v>
      </c>
      <c r="E90">
        <v>2023</v>
      </c>
      <c r="F90" s="4">
        <v>2148596</v>
      </c>
      <c r="G90" s="5">
        <v>9.4999999999999998E-3</v>
      </c>
      <c r="H90" s="6">
        <v>20411.66</v>
      </c>
      <c r="I90" t="s">
        <v>418</v>
      </c>
      <c r="J90" t="s">
        <v>419</v>
      </c>
      <c r="K90" t="s">
        <v>330</v>
      </c>
      <c r="L90" s="4">
        <v>2418904</v>
      </c>
      <c r="M90" s="7">
        <v>44572</v>
      </c>
    </row>
    <row r="91" spans="1:13">
      <c r="A91" t="s">
        <v>420</v>
      </c>
      <c r="B91" t="s">
        <v>69</v>
      </c>
      <c r="C91" t="s">
        <v>70</v>
      </c>
      <c r="D91" t="s">
        <v>82</v>
      </c>
      <c r="E91">
        <v>2021</v>
      </c>
      <c r="F91" s="4">
        <v>8290229</v>
      </c>
      <c r="G91" s="5">
        <v>1.49E-2</v>
      </c>
      <c r="H91" s="6">
        <v>123524.41</v>
      </c>
      <c r="I91" t="s">
        <v>421</v>
      </c>
      <c r="J91" t="s">
        <v>422</v>
      </c>
      <c r="K91" t="s">
        <v>423</v>
      </c>
      <c r="L91" s="4">
        <v>10248232</v>
      </c>
      <c r="M91" s="7">
        <v>43572</v>
      </c>
    </row>
    <row r="92" spans="1:13">
      <c r="A92" t="s">
        <v>424</v>
      </c>
      <c r="B92" t="s">
        <v>131</v>
      </c>
      <c r="C92" t="s">
        <v>132</v>
      </c>
      <c r="D92" t="s">
        <v>425</v>
      </c>
      <c r="E92">
        <v>2024</v>
      </c>
      <c r="F92" s="4">
        <v>3348517</v>
      </c>
      <c r="G92" s="5">
        <v>9.7999999999999997E-3</v>
      </c>
      <c r="H92" s="6">
        <v>32815.47</v>
      </c>
      <c r="I92" t="s">
        <v>426</v>
      </c>
      <c r="J92" t="s">
        <v>427</v>
      </c>
      <c r="K92" t="s">
        <v>428</v>
      </c>
      <c r="L92" s="4">
        <v>3963571</v>
      </c>
      <c r="M92" s="7">
        <v>44851</v>
      </c>
    </row>
    <row r="93" spans="1:13">
      <c r="A93" t="s">
        <v>429</v>
      </c>
      <c r="B93" t="s">
        <v>150</v>
      </c>
      <c r="C93" t="s">
        <v>151</v>
      </c>
      <c r="D93" t="s">
        <v>51</v>
      </c>
      <c r="E93">
        <v>2023</v>
      </c>
      <c r="F93" s="4">
        <v>1160206</v>
      </c>
      <c r="G93" s="5">
        <v>1.23E-2</v>
      </c>
      <c r="H93" s="6">
        <v>14270.53</v>
      </c>
      <c r="I93" t="s">
        <v>430</v>
      </c>
      <c r="J93" t="s">
        <v>431</v>
      </c>
      <c r="K93" t="s">
        <v>416</v>
      </c>
      <c r="L93" s="4">
        <v>1370530</v>
      </c>
      <c r="M93" s="7">
        <v>44960</v>
      </c>
    </row>
    <row r="94" spans="1:13">
      <c r="A94" t="s">
        <v>432</v>
      </c>
      <c r="B94" t="s">
        <v>131</v>
      </c>
      <c r="C94" t="s">
        <v>132</v>
      </c>
      <c r="D94" t="s">
        <v>82</v>
      </c>
      <c r="E94">
        <v>2021</v>
      </c>
      <c r="F94" s="4">
        <v>2695256</v>
      </c>
      <c r="G94" s="5">
        <v>1.5100000000000001E-2</v>
      </c>
      <c r="H94" s="6">
        <v>40698.370000000003</v>
      </c>
      <c r="I94" t="s">
        <v>433</v>
      </c>
      <c r="J94" t="s">
        <v>434</v>
      </c>
      <c r="K94" t="s">
        <v>389</v>
      </c>
      <c r="L94" s="4">
        <v>2546794</v>
      </c>
      <c r="M94" s="7">
        <v>45724</v>
      </c>
    </row>
    <row r="95" spans="1:13">
      <c r="A95" t="s">
        <v>435</v>
      </c>
      <c r="B95" t="s">
        <v>87</v>
      </c>
      <c r="C95" t="s">
        <v>88</v>
      </c>
      <c r="D95" t="s">
        <v>97</v>
      </c>
      <c r="E95">
        <v>2022</v>
      </c>
      <c r="F95" s="4">
        <v>2346944</v>
      </c>
      <c r="G95" s="5">
        <v>2.0500000000000001E-2</v>
      </c>
      <c r="H95" s="6">
        <v>48112.35</v>
      </c>
      <c r="I95" t="s">
        <v>436</v>
      </c>
      <c r="J95" t="s">
        <v>437</v>
      </c>
      <c r="K95" t="s">
        <v>129</v>
      </c>
      <c r="L95" s="4">
        <v>2215068</v>
      </c>
      <c r="M95" s="7">
        <v>44706</v>
      </c>
    </row>
    <row r="96" spans="1:13">
      <c r="A96" t="s">
        <v>438</v>
      </c>
      <c r="B96" t="s">
        <v>87</v>
      </c>
      <c r="C96" t="s">
        <v>88</v>
      </c>
      <c r="D96" t="s">
        <v>82</v>
      </c>
      <c r="E96">
        <v>2021</v>
      </c>
      <c r="F96" s="4">
        <v>7102492</v>
      </c>
      <c r="G96" s="5">
        <v>1.4800000000000001E-2</v>
      </c>
      <c r="H96" s="6">
        <v>105116.88</v>
      </c>
      <c r="I96" t="s">
        <v>439</v>
      </c>
      <c r="J96" t="s">
        <v>440</v>
      </c>
      <c r="K96" t="s">
        <v>202</v>
      </c>
      <c r="L96" s="4">
        <v>7050144</v>
      </c>
      <c r="M96" s="7">
        <v>44329</v>
      </c>
    </row>
    <row r="97" spans="1:13">
      <c r="A97" t="s">
        <v>441</v>
      </c>
      <c r="B97" t="s">
        <v>87</v>
      </c>
      <c r="C97" t="s">
        <v>88</v>
      </c>
      <c r="D97" t="s">
        <v>58</v>
      </c>
      <c r="E97">
        <v>2021</v>
      </c>
      <c r="F97" s="4">
        <v>1725457</v>
      </c>
      <c r="G97" s="5">
        <v>9.4999999999999998E-3</v>
      </c>
      <c r="H97" s="6">
        <v>16391.84</v>
      </c>
      <c r="I97" t="s">
        <v>442</v>
      </c>
      <c r="J97" t="s">
        <v>443</v>
      </c>
      <c r="K97" t="s">
        <v>444</v>
      </c>
      <c r="L97" s="4">
        <v>1803909</v>
      </c>
      <c r="M97" s="7">
        <v>45368</v>
      </c>
    </row>
    <row r="98" spans="1:13">
      <c r="A98" t="s">
        <v>445</v>
      </c>
      <c r="B98" t="s">
        <v>76</v>
      </c>
      <c r="C98" t="s">
        <v>77</v>
      </c>
      <c r="D98" t="s">
        <v>71</v>
      </c>
      <c r="E98">
        <v>2022</v>
      </c>
      <c r="F98" s="4">
        <v>3695680</v>
      </c>
      <c r="G98" s="5">
        <v>1.84E-2</v>
      </c>
      <c r="H98" s="6">
        <v>68000.509999999995</v>
      </c>
      <c r="I98" t="s">
        <v>446</v>
      </c>
      <c r="J98" t="s">
        <v>447</v>
      </c>
      <c r="K98" t="s">
        <v>448</v>
      </c>
      <c r="L98" s="4">
        <v>3451337</v>
      </c>
      <c r="M98" s="7">
        <v>44654</v>
      </c>
    </row>
    <row r="99" spans="1:13">
      <c r="A99" t="s">
        <v>449</v>
      </c>
      <c r="B99" t="s">
        <v>69</v>
      </c>
      <c r="C99" t="s">
        <v>70</v>
      </c>
      <c r="D99" t="s">
        <v>82</v>
      </c>
      <c r="E99">
        <v>2024</v>
      </c>
      <c r="F99" s="4">
        <v>4603435</v>
      </c>
      <c r="G99" s="5">
        <v>1.49E-2</v>
      </c>
      <c r="H99" s="6">
        <v>68591.179999999993</v>
      </c>
      <c r="I99" t="s">
        <v>450</v>
      </c>
      <c r="J99" t="s">
        <v>451</v>
      </c>
      <c r="K99" t="s">
        <v>291</v>
      </c>
      <c r="L99" s="4">
        <v>4288179</v>
      </c>
      <c r="M99" s="7">
        <v>45002</v>
      </c>
    </row>
    <row r="100" spans="1:13">
      <c r="A100" t="s">
        <v>452</v>
      </c>
      <c r="B100" t="s">
        <v>56</v>
      </c>
      <c r="C100" t="s">
        <v>57</v>
      </c>
      <c r="D100" t="s">
        <v>58</v>
      </c>
      <c r="E100">
        <v>2022</v>
      </c>
      <c r="F100" s="4">
        <v>1030628</v>
      </c>
      <c r="G100" s="5">
        <v>9.4000000000000004E-3</v>
      </c>
      <c r="H100" s="6">
        <v>9687.9</v>
      </c>
      <c r="I100" t="s">
        <v>453</v>
      </c>
      <c r="J100" t="s">
        <v>454</v>
      </c>
      <c r="K100" t="s">
        <v>455</v>
      </c>
      <c r="L100" s="4">
        <v>1059508</v>
      </c>
      <c r="M100" s="7">
        <v>45117</v>
      </c>
    </row>
    <row r="101" spans="1:13">
      <c r="A101" t="s">
        <v>456</v>
      </c>
      <c r="B101" t="s">
        <v>150</v>
      </c>
      <c r="C101" t="s">
        <v>151</v>
      </c>
      <c r="D101" t="s">
        <v>51</v>
      </c>
      <c r="E101">
        <v>2024</v>
      </c>
      <c r="F101" s="4">
        <v>409934</v>
      </c>
      <c r="G101" s="5">
        <v>1.23E-2</v>
      </c>
      <c r="H101" s="6">
        <v>5042.1899999999996</v>
      </c>
      <c r="I101" t="s">
        <v>457</v>
      </c>
      <c r="J101" t="s">
        <v>458</v>
      </c>
      <c r="K101" t="s">
        <v>459</v>
      </c>
      <c r="L101" s="4">
        <v>508842</v>
      </c>
      <c r="M101" s="7">
        <v>45003</v>
      </c>
    </row>
    <row r="102" spans="1:13">
      <c r="A102" t="s">
        <v>460</v>
      </c>
      <c r="B102" t="s">
        <v>150</v>
      </c>
      <c r="C102" t="s">
        <v>50</v>
      </c>
      <c r="D102" t="s">
        <v>71</v>
      </c>
      <c r="E102">
        <v>2023</v>
      </c>
      <c r="F102" s="4">
        <v>7041987</v>
      </c>
      <c r="G102" s="5">
        <v>1.83E-2</v>
      </c>
      <c r="H102" s="6">
        <v>128868.36</v>
      </c>
      <c r="I102" t="s">
        <v>461</v>
      </c>
      <c r="J102" t="s">
        <v>462</v>
      </c>
      <c r="K102" t="s">
        <v>463</v>
      </c>
      <c r="L102" s="4">
        <v>7146124</v>
      </c>
      <c r="M102" s="7">
        <v>45086</v>
      </c>
    </row>
    <row r="103" spans="1:13">
      <c r="A103" t="s">
        <v>464</v>
      </c>
      <c r="B103" t="s">
        <v>150</v>
      </c>
      <c r="C103" t="s">
        <v>151</v>
      </c>
      <c r="D103" t="s">
        <v>97</v>
      </c>
      <c r="E103">
        <v>2024</v>
      </c>
      <c r="F103" s="4">
        <v>5530194</v>
      </c>
      <c r="G103" s="5">
        <v>2.0299999999999999E-2</v>
      </c>
      <c r="H103" s="6">
        <v>112262.94</v>
      </c>
      <c r="I103" t="s">
        <v>465</v>
      </c>
      <c r="J103" t="s">
        <v>466</v>
      </c>
      <c r="K103" t="s">
        <v>326</v>
      </c>
      <c r="L103" s="4">
        <v>6106970</v>
      </c>
      <c r="M103" s="7">
        <v>45682</v>
      </c>
    </row>
    <row r="104" spans="1:13">
      <c r="A104" t="s">
        <v>467</v>
      </c>
      <c r="B104" t="s">
        <v>63</v>
      </c>
      <c r="C104" t="s">
        <v>64</v>
      </c>
      <c r="D104" t="s">
        <v>82</v>
      </c>
      <c r="E104">
        <v>2024</v>
      </c>
      <c r="F104" s="4">
        <v>4758125</v>
      </c>
      <c r="G104" s="5">
        <v>1.4800000000000001E-2</v>
      </c>
      <c r="H104" s="6">
        <v>70420.25</v>
      </c>
      <c r="I104" t="s">
        <v>468</v>
      </c>
      <c r="J104" t="s">
        <v>469</v>
      </c>
      <c r="K104" t="s">
        <v>470</v>
      </c>
      <c r="L104" s="4">
        <v>5235839</v>
      </c>
      <c r="M104" s="7">
        <v>45631</v>
      </c>
    </row>
    <row r="105" spans="1:13">
      <c r="A105" t="s">
        <v>471</v>
      </c>
      <c r="B105" t="s">
        <v>49</v>
      </c>
      <c r="C105" t="s">
        <v>50</v>
      </c>
      <c r="D105" t="s">
        <v>97</v>
      </c>
      <c r="E105">
        <v>2021</v>
      </c>
      <c r="F105" s="4">
        <v>2374152</v>
      </c>
      <c r="G105" s="5">
        <v>2.01E-2</v>
      </c>
      <c r="H105" s="6">
        <v>47720.46</v>
      </c>
      <c r="I105" t="s">
        <v>472</v>
      </c>
      <c r="J105" t="s">
        <v>473</v>
      </c>
      <c r="K105" t="s">
        <v>474</v>
      </c>
      <c r="L105" s="4">
        <v>2449861</v>
      </c>
      <c r="M105" s="7">
        <v>44175</v>
      </c>
    </row>
    <row r="106" spans="1:13">
      <c r="A106" t="s">
        <v>475</v>
      </c>
      <c r="B106" t="s">
        <v>101</v>
      </c>
      <c r="C106" t="s">
        <v>102</v>
      </c>
      <c r="D106" t="s">
        <v>82</v>
      </c>
      <c r="E106">
        <v>2023</v>
      </c>
      <c r="F106" s="4">
        <v>7592179</v>
      </c>
      <c r="G106" s="5">
        <v>1.52E-2</v>
      </c>
      <c r="H106" s="6">
        <v>115401.12</v>
      </c>
      <c r="I106" t="s">
        <v>476</v>
      </c>
      <c r="J106" t="s">
        <v>477</v>
      </c>
      <c r="K106" t="s">
        <v>478</v>
      </c>
      <c r="L106" s="4">
        <v>8706300</v>
      </c>
      <c r="M106" s="7">
        <v>44480</v>
      </c>
    </row>
    <row r="107" spans="1:13">
      <c r="A107" t="s">
        <v>479</v>
      </c>
      <c r="B107" t="s">
        <v>101</v>
      </c>
      <c r="C107" t="s">
        <v>102</v>
      </c>
      <c r="D107" t="s">
        <v>71</v>
      </c>
      <c r="E107">
        <v>2023</v>
      </c>
      <c r="F107" s="4">
        <v>3547251</v>
      </c>
      <c r="G107" s="5">
        <v>1.7899999999999999E-2</v>
      </c>
      <c r="H107" s="6">
        <v>67043.039999999994</v>
      </c>
      <c r="I107" t="s">
        <v>480</v>
      </c>
      <c r="J107" t="s">
        <v>481</v>
      </c>
      <c r="K107" t="s">
        <v>482</v>
      </c>
      <c r="L107" s="4">
        <v>4339719</v>
      </c>
      <c r="M107" s="7">
        <v>45174</v>
      </c>
    </row>
    <row r="108" spans="1:13">
      <c r="A108" t="s">
        <v>483</v>
      </c>
      <c r="B108" t="s">
        <v>137</v>
      </c>
      <c r="C108" t="s">
        <v>64</v>
      </c>
      <c r="D108" t="s">
        <v>58</v>
      </c>
      <c r="E108">
        <v>2022</v>
      </c>
      <c r="F108" s="4">
        <v>1001845</v>
      </c>
      <c r="G108" s="5">
        <v>9.7000000000000003E-3</v>
      </c>
      <c r="H108" s="6">
        <v>9717.9</v>
      </c>
      <c r="I108" t="s">
        <v>484</v>
      </c>
      <c r="J108" t="s">
        <v>485</v>
      </c>
      <c r="K108" t="s">
        <v>486</v>
      </c>
      <c r="L108" s="4">
        <v>1153199</v>
      </c>
      <c r="M108" s="7">
        <v>43877</v>
      </c>
    </row>
    <row r="109" spans="1:13">
      <c r="A109" t="s">
        <v>487</v>
      </c>
      <c r="B109" t="s">
        <v>131</v>
      </c>
      <c r="C109" t="s">
        <v>132</v>
      </c>
      <c r="D109" t="s">
        <v>51</v>
      </c>
      <c r="E109">
        <v>2022</v>
      </c>
      <c r="F109" s="4">
        <v>706173</v>
      </c>
      <c r="G109" s="5">
        <v>1.2800000000000001E-2</v>
      </c>
      <c r="H109" s="6">
        <v>9039.01</v>
      </c>
      <c r="I109" t="s">
        <v>488</v>
      </c>
      <c r="J109" t="s">
        <v>489</v>
      </c>
      <c r="K109" t="s">
        <v>490</v>
      </c>
      <c r="L109" s="4">
        <v>862853</v>
      </c>
      <c r="M109" s="7">
        <v>45092</v>
      </c>
    </row>
    <row r="110" spans="1:13">
      <c r="A110" t="s">
        <v>491</v>
      </c>
      <c r="B110" t="s">
        <v>101</v>
      </c>
      <c r="C110" t="s">
        <v>102</v>
      </c>
      <c r="D110" t="s">
        <v>97</v>
      </c>
      <c r="E110">
        <v>2023</v>
      </c>
      <c r="F110" s="4">
        <v>4297355</v>
      </c>
      <c r="G110" s="5">
        <v>2.0899999999999998E-2</v>
      </c>
      <c r="H110" s="6">
        <v>89814.720000000001</v>
      </c>
      <c r="I110" t="s">
        <v>492</v>
      </c>
      <c r="J110" t="s">
        <v>493</v>
      </c>
      <c r="K110" t="s">
        <v>494</v>
      </c>
      <c r="L110" s="4">
        <v>4037049</v>
      </c>
      <c r="M110" s="7">
        <v>44163</v>
      </c>
    </row>
    <row r="111" spans="1:13">
      <c r="A111" t="s">
        <v>359</v>
      </c>
      <c r="B111" t="s">
        <v>101</v>
      </c>
      <c r="C111" t="s">
        <v>102</v>
      </c>
      <c r="D111" t="s">
        <v>71</v>
      </c>
      <c r="E111">
        <v>2022</v>
      </c>
      <c r="F111" s="4">
        <v>1246108</v>
      </c>
      <c r="G111" s="5">
        <v>1.89E-2</v>
      </c>
      <c r="H111" s="6">
        <v>23551.439999999999</v>
      </c>
      <c r="I111" t="s">
        <v>495</v>
      </c>
      <c r="J111" t="s">
        <v>496</v>
      </c>
      <c r="K111" t="s">
        <v>459</v>
      </c>
      <c r="L111" s="4">
        <v>1549647</v>
      </c>
      <c r="M111" s="7">
        <v>45421</v>
      </c>
    </row>
    <row r="112" spans="1:13">
      <c r="A112" t="s">
        <v>497</v>
      </c>
      <c r="B112" t="s">
        <v>150</v>
      </c>
      <c r="C112" t="s">
        <v>151</v>
      </c>
      <c r="D112" t="s">
        <v>97</v>
      </c>
      <c r="E112">
        <v>2021</v>
      </c>
      <c r="F112" s="4">
        <v>1830308</v>
      </c>
      <c r="G112" s="5">
        <v>2.0299999999999999E-2</v>
      </c>
      <c r="H112" s="6">
        <v>37305.25</v>
      </c>
      <c r="I112" t="s">
        <v>498</v>
      </c>
      <c r="J112" t="s">
        <v>499</v>
      </c>
      <c r="K112" t="s">
        <v>500</v>
      </c>
      <c r="L112" s="4">
        <v>2086781</v>
      </c>
      <c r="M112" s="7">
        <v>44739</v>
      </c>
    </row>
    <row r="113" spans="1:13">
      <c r="A113" t="s">
        <v>501</v>
      </c>
      <c r="B113" t="s">
        <v>49</v>
      </c>
      <c r="C113" t="s">
        <v>84</v>
      </c>
      <c r="D113" t="s">
        <v>71</v>
      </c>
      <c r="E113">
        <v>2023</v>
      </c>
      <c r="F113" s="4">
        <v>5782221</v>
      </c>
      <c r="G113" s="5">
        <v>1.8100000000000002E-2</v>
      </c>
      <c r="H113" s="6">
        <v>104658.2</v>
      </c>
      <c r="I113" t="s">
        <v>502</v>
      </c>
      <c r="J113" t="s">
        <v>503</v>
      </c>
      <c r="K113" t="s">
        <v>504</v>
      </c>
      <c r="L113" s="4">
        <v>6108117</v>
      </c>
      <c r="M113" s="7">
        <v>45272</v>
      </c>
    </row>
    <row r="114" spans="1:13">
      <c r="A114" t="s">
        <v>505</v>
      </c>
      <c r="B114" t="s">
        <v>150</v>
      </c>
      <c r="C114" t="s">
        <v>151</v>
      </c>
      <c r="D114" t="s">
        <v>51</v>
      </c>
      <c r="E114">
        <v>2021</v>
      </c>
      <c r="F114" s="4">
        <v>425724</v>
      </c>
      <c r="G114" s="5">
        <v>1.23E-2</v>
      </c>
      <c r="H114" s="6">
        <v>5236.41</v>
      </c>
      <c r="I114" t="s">
        <v>506</v>
      </c>
      <c r="J114" t="s">
        <v>507</v>
      </c>
      <c r="K114" t="s">
        <v>508</v>
      </c>
      <c r="L114" s="4">
        <v>517089</v>
      </c>
      <c r="M114" s="7">
        <v>45290</v>
      </c>
    </row>
    <row r="115" spans="1:13">
      <c r="A115" t="s">
        <v>509</v>
      </c>
      <c r="B115" t="s">
        <v>63</v>
      </c>
      <c r="C115" t="s">
        <v>64</v>
      </c>
      <c r="D115" t="s">
        <v>58</v>
      </c>
      <c r="E115">
        <v>2022</v>
      </c>
      <c r="F115" s="4">
        <v>1767816</v>
      </c>
      <c r="G115" s="5">
        <v>9.4999999999999998E-3</v>
      </c>
      <c r="H115" s="6">
        <v>16794.25</v>
      </c>
      <c r="I115" t="s">
        <v>510</v>
      </c>
      <c r="J115" t="s">
        <v>511</v>
      </c>
      <c r="K115" t="s">
        <v>512</v>
      </c>
      <c r="L115" s="4">
        <v>1804207</v>
      </c>
      <c r="M115" s="7">
        <v>43727</v>
      </c>
    </row>
    <row r="116" spans="1:13">
      <c r="A116" t="s">
        <v>513</v>
      </c>
      <c r="B116" t="s">
        <v>56</v>
      </c>
      <c r="C116" t="s">
        <v>84</v>
      </c>
      <c r="D116" t="s">
        <v>51</v>
      </c>
      <c r="E116">
        <v>2021</v>
      </c>
      <c r="F116" s="4">
        <v>1378636</v>
      </c>
      <c r="G116" s="5">
        <v>1.24E-2</v>
      </c>
      <c r="H116" s="6">
        <v>17095.09</v>
      </c>
      <c r="I116" t="s">
        <v>514</v>
      </c>
      <c r="J116" t="s">
        <v>515</v>
      </c>
      <c r="K116" t="s">
        <v>162</v>
      </c>
      <c r="L116" s="4">
        <v>1556117</v>
      </c>
      <c r="M116" s="7">
        <v>44890</v>
      </c>
    </row>
    <row r="117" spans="1:13">
      <c r="A117" t="s">
        <v>516</v>
      </c>
      <c r="B117" t="s">
        <v>49</v>
      </c>
      <c r="C117" t="s">
        <v>50</v>
      </c>
      <c r="D117" t="s">
        <v>97</v>
      </c>
      <c r="E117">
        <v>2024</v>
      </c>
      <c r="F117" s="4">
        <v>2671093</v>
      </c>
      <c r="G117" s="5">
        <v>2.01E-2</v>
      </c>
      <c r="H117" s="6">
        <v>53688.97</v>
      </c>
      <c r="I117" t="s">
        <v>517</v>
      </c>
      <c r="J117" t="s">
        <v>518</v>
      </c>
      <c r="K117" t="s">
        <v>519</v>
      </c>
      <c r="L117" s="4">
        <v>2661684</v>
      </c>
      <c r="M117" s="7">
        <v>45681</v>
      </c>
    </row>
    <row r="118" spans="1:13">
      <c r="A118" t="s">
        <v>520</v>
      </c>
      <c r="B118" t="s">
        <v>49</v>
      </c>
      <c r="C118" t="s">
        <v>50</v>
      </c>
      <c r="D118" t="s">
        <v>51</v>
      </c>
      <c r="E118">
        <v>2024</v>
      </c>
      <c r="F118" s="4">
        <v>860356</v>
      </c>
      <c r="G118" s="5">
        <v>1.21E-2</v>
      </c>
      <c r="H118" s="6">
        <v>10410.31</v>
      </c>
      <c r="I118" t="s">
        <v>521</v>
      </c>
      <c r="J118" t="s">
        <v>522</v>
      </c>
      <c r="K118" t="s">
        <v>523</v>
      </c>
      <c r="L118" s="4">
        <v>926056</v>
      </c>
      <c r="M118" s="7">
        <v>44789</v>
      </c>
    </row>
    <row r="119" spans="1:13">
      <c r="A119" t="s">
        <v>524</v>
      </c>
      <c r="B119" t="s">
        <v>76</v>
      </c>
      <c r="C119" t="s">
        <v>77</v>
      </c>
      <c r="D119" t="s">
        <v>82</v>
      </c>
      <c r="E119">
        <v>2023</v>
      </c>
      <c r="F119" s="4">
        <v>7956412</v>
      </c>
      <c r="G119" s="5">
        <v>1.47E-2</v>
      </c>
      <c r="H119" s="6">
        <v>116959.26</v>
      </c>
      <c r="I119" t="s">
        <v>525</v>
      </c>
      <c r="J119" t="s">
        <v>526</v>
      </c>
      <c r="K119" t="s">
        <v>166</v>
      </c>
      <c r="L119" s="4">
        <v>9050916</v>
      </c>
      <c r="M119" s="7">
        <v>44969</v>
      </c>
    </row>
    <row r="120" spans="1:13">
      <c r="A120" t="s">
        <v>527</v>
      </c>
      <c r="B120" t="s">
        <v>101</v>
      </c>
      <c r="C120" t="s">
        <v>102</v>
      </c>
      <c r="D120" t="s">
        <v>51</v>
      </c>
      <c r="E120">
        <v>2023</v>
      </c>
      <c r="F120" s="4">
        <v>1250873</v>
      </c>
      <c r="G120" s="5">
        <v>1.29E-2</v>
      </c>
      <c r="H120" s="6">
        <v>16136.26</v>
      </c>
      <c r="I120" t="s">
        <v>528</v>
      </c>
      <c r="J120" t="s">
        <v>529</v>
      </c>
      <c r="K120" t="s">
        <v>105</v>
      </c>
      <c r="L120" s="4">
        <v>1501222</v>
      </c>
      <c r="M120" s="7">
        <v>44126</v>
      </c>
    </row>
    <row r="121" spans="1:13">
      <c r="A121" t="s">
        <v>530</v>
      </c>
      <c r="B121" t="s">
        <v>101</v>
      </c>
      <c r="C121" t="s">
        <v>102</v>
      </c>
      <c r="D121" t="s">
        <v>51</v>
      </c>
      <c r="E121">
        <v>2024</v>
      </c>
      <c r="F121" s="4">
        <v>1314994</v>
      </c>
      <c r="G121" s="5">
        <v>1.29E-2</v>
      </c>
      <c r="H121" s="6">
        <v>16963.419999999998</v>
      </c>
      <c r="I121" t="s">
        <v>531</v>
      </c>
      <c r="J121" t="s">
        <v>532</v>
      </c>
      <c r="K121" t="s">
        <v>533</v>
      </c>
      <c r="L121" s="4">
        <v>1461931</v>
      </c>
      <c r="M121" s="7">
        <v>44277</v>
      </c>
    </row>
    <row r="122" spans="1:13">
      <c r="A122" t="s">
        <v>534</v>
      </c>
      <c r="B122" t="s">
        <v>49</v>
      </c>
      <c r="C122" t="s">
        <v>50</v>
      </c>
      <c r="D122" t="s">
        <v>535</v>
      </c>
      <c r="E122">
        <v>2022</v>
      </c>
      <c r="F122" s="4">
        <v>2500765</v>
      </c>
      <c r="G122" s="5">
        <v>2.01E-2</v>
      </c>
      <c r="H122" s="6">
        <v>50265.38</v>
      </c>
      <c r="I122" t="s">
        <v>536</v>
      </c>
      <c r="J122" t="s">
        <v>537</v>
      </c>
      <c r="K122" t="s">
        <v>412</v>
      </c>
      <c r="L122" s="4">
        <v>2929471</v>
      </c>
      <c r="M122" s="7">
        <v>45025</v>
      </c>
    </row>
    <row r="123" spans="1:13">
      <c r="A123" t="s">
        <v>538</v>
      </c>
      <c r="B123" t="s">
        <v>101</v>
      </c>
      <c r="C123" t="s">
        <v>102</v>
      </c>
      <c r="D123" t="s">
        <v>82</v>
      </c>
      <c r="E123">
        <v>2023</v>
      </c>
      <c r="F123" s="4">
        <v>5150593</v>
      </c>
      <c r="G123" s="5">
        <v>1.52E-2</v>
      </c>
      <c r="H123" s="6">
        <v>78289.009999999995</v>
      </c>
      <c r="I123" t="s">
        <v>539</v>
      </c>
      <c r="J123" t="s">
        <v>540</v>
      </c>
      <c r="K123" t="s">
        <v>396</v>
      </c>
      <c r="L123" s="4">
        <v>4898590</v>
      </c>
      <c r="M123" s="7">
        <v>44365</v>
      </c>
    </row>
    <row r="124" spans="1:13">
      <c r="A124" t="s">
        <v>541</v>
      </c>
      <c r="B124" t="s">
        <v>56</v>
      </c>
      <c r="C124" t="s">
        <v>57</v>
      </c>
      <c r="D124" t="s">
        <v>82</v>
      </c>
      <c r="E124">
        <v>2024</v>
      </c>
      <c r="F124" s="4">
        <v>85874072</v>
      </c>
      <c r="G124" s="5">
        <v>1.47E-2</v>
      </c>
      <c r="H124" s="6">
        <v>1262348.8600000001</v>
      </c>
      <c r="I124" t="s">
        <v>542</v>
      </c>
      <c r="J124" t="s">
        <v>543</v>
      </c>
      <c r="K124" t="s">
        <v>80</v>
      </c>
      <c r="L124" s="4">
        <v>5336452</v>
      </c>
      <c r="M124" s="7">
        <v>45697</v>
      </c>
    </row>
    <row r="125" spans="1:13">
      <c r="A125" t="s">
        <v>544</v>
      </c>
      <c r="B125" t="s">
        <v>150</v>
      </c>
      <c r="C125" t="s">
        <v>151</v>
      </c>
      <c r="D125" t="s">
        <v>97</v>
      </c>
      <c r="E125">
        <v>2022</v>
      </c>
      <c r="F125" s="4">
        <v>3435195</v>
      </c>
      <c r="G125" s="5">
        <v>2.0299999999999999E-2</v>
      </c>
      <c r="H125" s="6">
        <v>69734.460000000006</v>
      </c>
      <c r="I125" t="s">
        <v>545</v>
      </c>
      <c r="J125" t="s">
        <v>546</v>
      </c>
      <c r="K125" t="s">
        <v>547</v>
      </c>
      <c r="L125" s="4">
        <v>3941918</v>
      </c>
      <c r="M125" s="7">
        <v>43503</v>
      </c>
    </row>
    <row r="126" spans="1:13">
      <c r="A126" t="s">
        <v>548</v>
      </c>
      <c r="B126" t="s">
        <v>76</v>
      </c>
      <c r="C126" t="s">
        <v>77</v>
      </c>
      <c r="D126" t="s">
        <v>82</v>
      </c>
      <c r="E126">
        <v>2024</v>
      </c>
      <c r="F126" s="4">
        <v>5767173</v>
      </c>
      <c r="G126" s="5">
        <v>1.47E-2</v>
      </c>
      <c r="H126" s="6">
        <v>84777.44</v>
      </c>
      <c r="I126" t="s">
        <v>549</v>
      </c>
      <c r="J126" t="s">
        <v>550</v>
      </c>
      <c r="K126" t="s">
        <v>91</v>
      </c>
      <c r="L126" s="4">
        <v>7163508</v>
      </c>
      <c r="M126" s="7">
        <v>44232</v>
      </c>
    </row>
    <row r="127" spans="1:13">
      <c r="A127" t="s">
        <v>551</v>
      </c>
      <c r="B127" t="s">
        <v>56</v>
      </c>
      <c r="C127" t="s">
        <v>57</v>
      </c>
      <c r="D127" t="s">
        <v>58</v>
      </c>
      <c r="E127">
        <v>2022</v>
      </c>
      <c r="F127" s="4">
        <v>776640</v>
      </c>
      <c r="G127" s="5">
        <v>9.4000000000000004E-3</v>
      </c>
      <c r="H127" s="6">
        <v>7300.42</v>
      </c>
      <c r="I127" t="s">
        <v>552</v>
      </c>
      <c r="J127" t="s">
        <v>553</v>
      </c>
      <c r="K127" t="s">
        <v>84</v>
      </c>
      <c r="L127" s="4">
        <v>760369</v>
      </c>
      <c r="M127" s="7">
        <v>43796</v>
      </c>
    </row>
    <row r="128" spans="1:13">
      <c r="A128" t="s">
        <v>554</v>
      </c>
      <c r="B128" t="s">
        <v>63</v>
      </c>
      <c r="C128" t="s">
        <v>64</v>
      </c>
      <c r="D128" t="s">
        <v>51</v>
      </c>
      <c r="E128">
        <v>2024</v>
      </c>
      <c r="F128" s="4">
        <v>687884</v>
      </c>
      <c r="G128" s="5">
        <v>1.2500000000000001E-2</v>
      </c>
      <c r="H128" s="6">
        <v>8598.5499999999993</v>
      </c>
      <c r="I128" t="s">
        <v>555</v>
      </c>
      <c r="J128" t="s">
        <v>556</v>
      </c>
      <c r="K128" t="s">
        <v>148</v>
      </c>
      <c r="L128" s="4">
        <v>836086</v>
      </c>
      <c r="M128" s="7">
        <v>45614</v>
      </c>
    </row>
    <row r="129" spans="1:13">
      <c r="A129" t="s">
        <v>557</v>
      </c>
      <c r="B129" t="s">
        <v>87</v>
      </c>
      <c r="C129" t="s">
        <v>88</v>
      </c>
      <c r="D129" t="s">
        <v>58</v>
      </c>
      <c r="E129">
        <v>2023</v>
      </c>
      <c r="F129" s="4">
        <v>573553</v>
      </c>
      <c r="G129" s="5">
        <v>9.4999999999999998E-3</v>
      </c>
      <c r="H129" s="6">
        <v>5448.75</v>
      </c>
      <c r="I129" t="s">
        <v>558</v>
      </c>
      <c r="J129" t="s">
        <v>559</v>
      </c>
      <c r="K129" t="s">
        <v>560</v>
      </c>
      <c r="L129" s="4">
        <v>531642</v>
      </c>
      <c r="M129" s="7">
        <v>44163</v>
      </c>
    </row>
    <row r="130" spans="1:13">
      <c r="A130" t="s">
        <v>561</v>
      </c>
      <c r="B130" t="s">
        <v>87</v>
      </c>
      <c r="C130" t="s">
        <v>88</v>
      </c>
      <c r="D130" t="s">
        <v>97</v>
      </c>
      <c r="E130">
        <v>2024</v>
      </c>
      <c r="F130" s="4">
        <v>3243891</v>
      </c>
      <c r="G130" s="5">
        <v>2.0500000000000001E-2</v>
      </c>
      <c r="H130" s="6">
        <v>66499.77</v>
      </c>
      <c r="I130" t="s">
        <v>562</v>
      </c>
      <c r="J130" t="s">
        <v>563</v>
      </c>
      <c r="K130" t="s">
        <v>564</v>
      </c>
      <c r="L130" s="4">
        <v>3606587</v>
      </c>
      <c r="M130" s="7">
        <v>45454</v>
      </c>
    </row>
    <row r="131" spans="1:13">
      <c r="A131" t="s">
        <v>565</v>
      </c>
      <c r="B131" t="s">
        <v>87</v>
      </c>
      <c r="C131" t="s">
        <v>88</v>
      </c>
      <c r="D131" t="s">
        <v>58</v>
      </c>
      <c r="E131">
        <v>2023</v>
      </c>
      <c r="F131" s="4">
        <v>493922</v>
      </c>
      <c r="G131" s="5">
        <v>9.4999999999999998E-3</v>
      </c>
      <c r="H131" s="6">
        <v>4692.26</v>
      </c>
      <c r="I131" t="s">
        <v>566</v>
      </c>
      <c r="J131" t="s">
        <v>567</v>
      </c>
      <c r="K131" t="s">
        <v>568</v>
      </c>
      <c r="L131" s="4">
        <v>471190</v>
      </c>
      <c r="M131" s="7">
        <v>45288</v>
      </c>
    </row>
    <row r="132" spans="1:13">
      <c r="A132" t="s">
        <v>569</v>
      </c>
      <c r="B132" t="s">
        <v>131</v>
      </c>
      <c r="C132" t="s">
        <v>132</v>
      </c>
      <c r="D132" t="s">
        <v>58</v>
      </c>
      <c r="E132">
        <v>2023</v>
      </c>
      <c r="F132" s="4">
        <v>1368818</v>
      </c>
      <c r="G132" s="5">
        <v>9.7999999999999997E-3</v>
      </c>
      <c r="H132" s="6">
        <v>13414.42</v>
      </c>
      <c r="I132" t="s">
        <v>570</v>
      </c>
      <c r="J132" t="s">
        <v>571</v>
      </c>
      <c r="K132" t="s">
        <v>572</v>
      </c>
      <c r="L132" s="4">
        <v>1427425</v>
      </c>
      <c r="M132" s="7">
        <v>43884</v>
      </c>
    </row>
    <row r="133" spans="1:13">
      <c r="A133" t="s">
        <v>573</v>
      </c>
      <c r="B133" t="s">
        <v>49</v>
      </c>
      <c r="C133" t="s">
        <v>50</v>
      </c>
      <c r="D133" t="s">
        <v>71</v>
      </c>
      <c r="E133">
        <v>2021</v>
      </c>
      <c r="F133" s="4">
        <v>5641028</v>
      </c>
      <c r="G133" s="5">
        <v>1.8100000000000002E-2</v>
      </c>
      <c r="H133" s="6">
        <v>102102.61</v>
      </c>
      <c r="I133" t="s">
        <v>574</v>
      </c>
      <c r="J133" t="s">
        <v>575</v>
      </c>
      <c r="K133" t="s">
        <v>276</v>
      </c>
      <c r="L133" s="4">
        <v>5607868</v>
      </c>
      <c r="M133" s="7">
        <v>44565</v>
      </c>
    </row>
    <row r="134" spans="1:13">
      <c r="A134" t="s">
        <v>576</v>
      </c>
      <c r="B134" t="s">
        <v>101</v>
      </c>
      <c r="C134" t="s">
        <v>102</v>
      </c>
      <c r="D134" t="s">
        <v>577</v>
      </c>
      <c r="E134">
        <v>2021</v>
      </c>
      <c r="F134" s="4">
        <v>1544948</v>
      </c>
      <c r="G134" s="5">
        <v>2.0899999999999998E-2</v>
      </c>
      <c r="H134" s="6">
        <v>32289.41</v>
      </c>
      <c r="I134" t="s">
        <v>578</v>
      </c>
      <c r="J134" t="s">
        <v>579</v>
      </c>
      <c r="K134" t="s">
        <v>580</v>
      </c>
      <c r="L134" s="4">
        <v>1903512</v>
      </c>
      <c r="M134" s="7">
        <v>44826</v>
      </c>
    </row>
    <row r="135" spans="1:13">
      <c r="A135" t="s">
        <v>581</v>
      </c>
      <c r="B135" t="s">
        <v>87</v>
      </c>
      <c r="C135" t="s">
        <v>88</v>
      </c>
      <c r="D135" t="s">
        <v>58</v>
      </c>
      <c r="E135">
        <v>2023</v>
      </c>
      <c r="F135" s="4">
        <v>1570027</v>
      </c>
      <c r="G135" s="5">
        <v>9.4999999999999998E-3</v>
      </c>
      <c r="H135" s="6">
        <v>14915.26</v>
      </c>
      <c r="I135" t="s">
        <v>582</v>
      </c>
      <c r="J135" t="s">
        <v>583</v>
      </c>
      <c r="K135" t="s">
        <v>584</v>
      </c>
      <c r="L135" s="4">
        <v>1842727</v>
      </c>
      <c r="M135" s="7">
        <v>44498</v>
      </c>
    </row>
    <row r="136" spans="1:13">
      <c r="A136" t="s">
        <v>585</v>
      </c>
      <c r="B136" t="s">
        <v>69</v>
      </c>
      <c r="C136" t="s">
        <v>70</v>
      </c>
      <c r="D136" t="s">
        <v>71</v>
      </c>
      <c r="E136">
        <v>2024</v>
      </c>
      <c r="F136" s="4">
        <v>4018669</v>
      </c>
      <c r="G136" s="5">
        <v>1.8599999999999998E-2</v>
      </c>
      <c r="H136" s="6">
        <v>74747.240000000005</v>
      </c>
      <c r="I136" t="s">
        <v>586</v>
      </c>
      <c r="J136" t="s">
        <v>587</v>
      </c>
      <c r="K136" t="s">
        <v>588</v>
      </c>
      <c r="L136" s="4">
        <v>4042747</v>
      </c>
      <c r="M136" s="7">
        <v>44714</v>
      </c>
    </row>
    <row r="137" spans="1:13">
      <c r="A137" t="s">
        <v>589</v>
      </c>
      <c r="B137" t="s">
        <v>131</v>
      </c>
      <c r="C137" t="s">
        <v>138</v>
      </c>
      <c r="D137" t="s">
        <v>58</v>
      </c>
      <c r="E137">
        <v>2024</v>
      </c>
      <c r="F137" s="4">
        <v>676022</v>
      </c>
      <c r="G137" s="5">
        <v>9.7999999999999997E-3</v>
      </c>
      <c r="H137" s="6">
        <v>6625.02</v>
      </c>
      <c r="I137" t="s">
        <v>590</v>
      </c>
      <c r="J137" t="s">
        <v>591</v>
      </c>
      <c r="K137" t="s">
        <v>95</v>
      </c>
      <c r="L137" s="4">
        <v>790360</v>
      </c>
      <c r="M137" s="7">
        <v>45543</v>
      </c>
    </row>
    <row r="138" spans="1:13">
      <c r="A138" t="s">
        <v>592</v>
      </c>
      <c r="B138" t="s">
        <v>150</v>
      </c>
      <c r="C138" t="s">
        <v>151</v>
      </c>
      <c r="D138" t="s">
        <v>97</v>
      </c>
      <c r="E138">
        <v>2021</v>
      </c>
      <c r="F138" s="4">
        <v>2794839</v>
      </c>
      <c r="G138" s="5">
        <v>2.0299999999999999E-2</v>
      </c>
      <c r="H138" s="6">
        <v>56735.23</v>
      </c>
      <c r="I138" t="s">
        <v>593</v>
      </c>
      <c r="J138" t="s">
        <v>594</v>
      </c>
      <c r="K138" t="s">
        <v>595</v>
      </c>
      <c r="L138" s="4">
        <v>3083214</v>
      </c>
      <c r="M138" s="7">
        <v>44371</v>
      </c>
    </row>
    <row r="139" spans="1:13">
      <c r="A139" t="s">
        <v>596</v>
      </c>
      <c r="B139" t="s">
        <v>101</v>
      </c>
      <c r="C139" t="s">
        <v>102</v>
      </c>
      <c r="D139" t="s">
        <v>71</v>
      </c>
      <c r="E139">
        <v>2024</v>
      </c>
      <c r="F139" s="4">
        <v>4660688</v>
      </c>
      <c r="G139" s="5">
        <v>1.89E-2</v>
      </c>
      <c r="H139" s="6">
        <v>88087</v>
      </c>
      <c r="I139" t="s">
        <v>597</v>
      </c>
      <c r="J139" t="s">
        <v>598</v>
      </c>
      <c r="K139" t="s">
        <v>369</v>
      </c>
      <c r="L139" s="4">
        <v>4703387</v>
      </c>
      <c r="M139" s="7">
        <v>45129</v>
      </c>
    </row>
    <row r="140" spans="1:13">
      <c r="A140" t="s">
        <v>599</v>
      </c>
      <c r="B140" t="s">
        <v>76</v>
      </c>
      <c r="C140" t="s">
        <v>77</v>
      </c>
      <c r="D140" t="s">
        <v>82</v>
      </c>
      <c r="E140">
        <v>2024</v>
      </c>
      <c r="F140" s="4">
        <v>5526557</v>
      </c>
      <c r="G140" s="5">
        <v>1.47E-2</v>
      </c>
      <c r="H140" s="6">
        <v>81240.39</v>
      </c>
      <c r="I140" t="s">
        <v>600</v>
      </c>
      <c r="J140" t="s">
        <v>583</v>
      </c>
      <c r="K140" t="s">
        <v>162</v>
      </c>
      <c r="L140" s="4">
        <v>5614133</v>
      </c>
      <c r="M140" s="7">
        <v>45070</v>
      </c>
    </row>
    <row r="141" spans="1:13">
      <c r="A141" t="s">
        <v>601</v>
      </c>
      <c r="B141" t="s">
        <v>602</v>
      </c>
      <c r="C141" t="s">
        <v>50</v>
      </c>
      <c r="D141" t="s">
        <v>97</v>
      </c>
      <c r="E141">
        <v>2024</v>
      </c>
      <c r="F141" s="4">
        <v>3049062</v>
      </c>
      <c r="G141" s="5">
        <v>2.0899999999999998E-2</v>
      </c>
      <c r="H141" s="6">
        <v>63725.4</v>
      </c>
      <c r="I141" t="s">
        <v>603</v>
      </c>
      <c r="J141" t="s">
        <v>604</v>
      </c>
      <c r="K141" t="s">
        <v>240</v>
      </c>
      <c r="L141" s="4">
        <v>2852743</v>
      </c>
      <c r="M141" s="7">
        <v>45296</v>
      </c>
    </row>
    <row r="142" spans="1:13">
      <c r="A142" t="s">
        <v>605</v>
      </c>
      <c r="B142" t="s">
        <v>131</v>
      </c>
      <c r="C142" t="s">
        <v>132</v>
      </c>
      <c r="D142" t="s">
        <v>71</v>
      </c>
      <c r="E142">
        <v>2023</v>
      </c>
      <c r="F142" s="4">
        <v>3016874</v>
      </c>
      <c r="G142" s="5">
        <v>1.8800000000000001E-2</v>
      </c>
      <c r="H142" s="6">
        <v>56717.23</v>
      </c>
      <c r="I142" t="s">
        <v>606</v>
      </c>
      <c r="J142" t="s">
        <v>607</v>
      </c>
      <c r="K142" t="s">
        <v>608</v>
      </c>
      <c r="L142" s="4">
        <v>3198644</v>
      </c>
      <c r="M142" s="7">
        <v>44184</v>
      </c>
    </row>
    <row r="143" spans="1:13">
      <c r="A143" t="s">
        <v>609</v>
      </c>
      <c r="B143" t="s">
        <v>137</v>
      </c>
      <c r="C143" t="s">
        <v>138</v>
      </c>
      <c r="D143" t="s">
        <v>82</v>
      </c>
      <c r="E143">
        <v>2021</v>
      </c>
      <c r="F143" s="4">
        <v>9152377</v>
      </c>
      <c r="G143" s="5">
        <v>1.4999999999999999E-2</v>
      </c>
      <c r="H143" s="6">
        <v>137285.65</v>
      </c>
      <c r="I143" t="s">
        <v>610</v>
      </c>
      <c r="J143" t="s">
        <v>611</v>
      </c>
      <c r="K143" t="s">
        <v>444</v>
      </c>
      <c r="L143" s="4">
        <v>10272862</v>
      </c>
      <c r="M143" s="7">
        <v>44175</v>
      </c>
    </row>
    <row r="144" spans="1:13">
      <c r="A144" t="s">
        <v>612</v>
      </c>
      <c r="B144" t="s">
        <v>613</v>
      </c>
      <c r="C144" t="s">
        <v>64</v>
      </c>
      <c r="D144" t="s">
        <v>97</v>
      </c>
      <c r="E144">
        <v>2024</v>
      </c>
      <c r="F144" s="4">
        <v>1910183</v>
      </c>
      <c r="G144" s="5">
        <v>2.0400000000000001E-2</v>
      </c>
      <c r="H144" s="6">
        <v>38967.730000000003</v>
      </c>
      <c r="I144" t="s">
        <v>614</v>
      </c>
      <c r="J144" t="s">
        <v>615</v>
      </c>
      <c r="K144" t="s">
        <v>616</v>
      </c>
      <c r="L144" s="4">
        <v>2047915</v>
      </c>
      <c r="M144" s="7">
        <v>45651</v>
      </c>
    </row>
    <row r="145" spans="1:13">
      <c r="A145" t="s">
        <v>617</v>
      </c>
      <c r="B145" t="s">
        <v>101</v>
      </c>
      <c r="C145" t="s">
        <v>102</v>
      </c>
      <c r="D145" t="s">
        <v>58</v>
      </c>
      <c r="E145">
        <v>2022</v>
      </c>
      <c r="F145" s="4">
        <v>704400</v>
      </c>
      <c r="G145" s="5">
        <v>9.9000000000000008E-3</v>
      </c>
      <c r="H145" s="6">
        <v>6973.56</v>
      </c>
      <c r="I145" t="s">
        <v>618</v>
      </c>
      <c r="J145" t="s">
        <v>619</v>
      </c>
      <c r="K145" t="s">
        <v>620</v>
      </c>
      <c r="L145" s="4">
        <v>825056</v>
      </c>
      <c r="M145" s="7">
        <v>44968</v>
      </c>
    </row>
    <row r="146" spans="1:13">
      <c r="A146" t="s">
        <v>621</v>
      </c>
      <c r="B146" t="s">
        <v>56</v>
      </c>
      <c r="C146" t="s">
        <v>57</v>
      </c>
      <c r="D146" t="s">
        <v>51</v>
      </c>
      <c r="E146">
        <v>2024</v>
      </c>
      <c r="F146" s="4">
        <v>805738</v>
      </c>
      <c r="G146" s="5">
        <v>1.24E-2</v>
      </c>
      <c r="H146" s="6">
        <v>9991.15</v>
      </c>
      <c r="I146" t="s">
        <v>622</v>
      </c>
      <c r="J146" t="s">
        <v>623</v>
      </c>
      <c r="K146" t="s">
        <v>113</v>
      </c>
      <c r="L146" s="4">
        <v>784352</v>
      </c>
      <c r="M146" s="7">
        <v>45707</v>
      </c>
    </row>
    <row r="147" spans="1:13">
      <c r="A147" t="s">
        <v>624</v>
      </c>
      <c r="B147" t="s">
        <v>87</v>
      </c>
      <c r="C147" t="s">
        <v>88</v>
      </c>
      <c r="D147" t="s">
        <v>71</v>
      </c>
      <c r="E147">
        <v>2024</v>
      </c>
      <c r="F147" s="4">
        <v>2818039</v>
      </c>
      <c r="G147" s="5">
        <v>1.8499999999999999E-2</v>
      </c>
      <c r="H147" s="6">
        <v>52133.72</v>
      </c>
      <c r="I147" t="s">
        <v>625</v>
      </c>
      <c r="J147" t="s">
        <v>626</v>
      </c>
      <c r="K147" t="s">
        <v>627</v>
      </c>
      <c r="L147" s="4">
        <v>3101132</v>
      </c>
      <c r="M147" s="7">
        <v>45250</v>
      </c>
    </row>
    <row r="148" spans="1:13">
      <c r="A148" t="s">
        <v>628</v>
      </c>
      <c r="B148" t="s">
        <v>49</v>
      </c>
      <c r="C148" t="s">
        <v>50</v>
      </c>
      <c r="D148" t="s">
        <v>97</v>
      </c>
      <c r="E148">
        <v>2024</v>
      </c>
      <c r="F148" s="4">
        <v>4617770</v>
      </c>
      <c r="G148" s="5">
        <v>2.01E-2</v>
      </c>
      <c r="H148" s="6">
        <v>92817.18</v>
      </c>
      <c r="I148" t="s">
        <v>629</v>
      </c>
      <c r="J148" t="s">
        <v>630</v>
      </c>
      <c r="K148" t="s">
        <v>631</v>
      </c>
      <c r="L148" s="4">
        <v>5440239</v>
      </c>
      <c r="M148" s="7">
        <v>44387</v>
      </c>
    </row>
    <row r="149" spans="1:13">
      <c r="A149" t="s">
        <v>632</v>
      </c>
      <c r="B149" t="s">
        <v>69</v>
      </c>
      <c r="C149" t="s">
        <v>70</v>
      </c>
      <c r="D149" t="s">
        <v>82</v>
      </c>
      <c r="E149">
        <v>2023</v>
      </c>
      <c r="F149" s="4">
        <v>9462643</v>
      </c>
      <c r="G149" s="5">
        <v>1.49E-2</v>
      </c>
      <c r="H149" s="6">
        <v>140993.38</v>
      </c>
      <c r="I149" t="s">
        <v>633</v>
      </c>
      <c r="J149" t="s">
        <v>634</v>
      </c>
      <c r="K149" t="s">
        <v>635</v>
      </c>
      <c r="L149" s="4">
        <v>9218015</v>
      </c>
      <c r="M149" s="7">
        <v>44380</v>
      </c>
    </row>
    <row r="150" spans="1:13">
      <c r="A150" t="s">
        <v>636</v>
      </c>
      <c r="B150" t="s">
        <v>150</v>
      </c>
      <c r="C150" t="s">
        <v>151</v>
      </c>
      <c r="D150" t="s">
        <v>71</v>
      </c>
      <c r="E150">
        <v>2023</v>
      </c>
      <c r="F150" s="4">
        <v>5261023</v>
      </c>
      <c r="G150" s="5">
        <v>1.83E-2</v>
      </c>
      <c r="H150" s="6">
        <v>96276.72</v>
      </c>
      <c r="I150" t="s">
        <v>637</v>
      </c>
      <c r="J150" t="s">
        <v>638</v>
      </c>
      <c r="K150" t="s">
        <v>404</v>
      </c>
      <c r="L150" s="4">
        <v>5575534</v>
      </c>
      <c r="M150" s="7">
        <v>44707</v>
      </c>
    </row>
    <row r="151" spans="1:13">
      <c r="A151" t="s">
        <v>639</v>
      </c>
      <c r="B151" t="s">
        <v>76</v>
      </c>
      <c r="C151" t="s">
        <v>77</v>
      </c>
      <c r="D151" t="s">
        <v>97</v>
      </c>
      <c r="E151">
        <v>2023</v>
      </c>
      <c r="F151" s="4">
        <v>1516415</v>
      </c>
      <c r="G151" s="5">
        <v>2.0400000000000001E-2</v>
      </c>
      <c r="H151" s="6">
        <v>30934.87</v>
      </c>
      <c r="I151" t="s">
        <v>640</v>
      </c>
      <c r="J151" t="s">
        <v>641</v>
      </c>
      <c r="K151" t="s">
        <v>642</v>
      </c>
      <c r="L151" s="4">
        <v>1478046</v>
      </c>
      <c r="M151" s="7">
        <v>43990</v>
      </c>
    </row>
    <row r="152" spans="1:13">
      <c r="A152" t="s">
        <v>643</v>
      </c>
      <c r="B152" t="s">
        <v>131</v>
      </c>
      <c r="C152" t="s">
        <v>132</v>
      </c>
      <c r="D152" t="s">
        <v>644</v>
      </c>
      <c r="E152">
        <v>2022</v>
      </c>
      <c r="F152" s="4">
        <v>7288890</v>
      </c>
      <c r="G152" s="5">
        <v>1.5100000000000001E-2</v>
      </c>
      <c r="H152" s="6">
        <v>110062.24</v>
      </c>
      <c r="I152" t="s">
        <v>645</v>
      </c>
      <c r="J152" t="s">
        <v>646</v>
      </c>
      <c r="K152" t="s">
        <v>647</v>
      </c>
      <c r="L152" s="4">
        <v>7359396</v>
      </c>
      <c r="M152" s="7">
        <v>44691</v>
      </c>
    </row>
    <row r="153" spans="1:13">
      <c r="A153" t="s">
        <v>648</v>
      </c>
      <c r="B153" t="s">
        <v>131</v>
      </c>
      <c r="C153" t="s">
        <v>132</v>
      </c>
      <c r="D153" t="s">
        <v>58</v>
      </c>
      <c r="E153">
        <v>2022</v>
      </c>
      <c r="F153" s="4">
        <v>2155477</v>
      </c>
      <c r="G153" s="5">
        <v>9.7999999999999997E-3</v>
      </c>
      <c r="H153" s="6">
        <v>21123.67</v>
      </c>
      <c r="I153" t="s">
        <v>649</v>
      </c>
      <c r="J153" t="s">
        <v>650</v>
      </c>
      <c r="K153" t="s">
        <v>651</v>
      </c>
      <c r="L153" s="4">
        <v>2103822</v>
      </c>
      <c r="M153" s="7">
        <v>43877</v>
      </c>
    </row>
    <row r="154" spans="1:13">
      <c r="A154" t="s">
        <v>652</v>
      </c>
      <c r="B154" t="s">
        <v>131</v>
      </c>
      <c r="C154" t="s">
        <v>132</v>
      </c>
      <c r="D154" t="s">
        <v>51</v>
      </c>
      <c r="E154">
        <v>2024</v>
      </c>
      <c r="F154" s="4">
        <v>669944</v>
      </c>
      <c r="G154" s="5">
        <v>1.2800000000000001E-2</v>
      </c>
      <c r="H154" s="6">
        <v>8575.2800000000007</v>
      </c>
      <c r="I154" t="s">
        <v>653</v>
      </c>
      <c r="J154" t="s">
        <v>654</v>
      </c>
      <c r="K154" t="s">
        <v>99</v>
      </c>
      <c r="L154" s="4">
        <v>651123</v>
      </c>
      <c r="M154" s="7"/>
    </row>
    <row r="155" spans="1:13">
      <c r="A155" t="s">
        <v>655</v>
      </c>
      <c r="B155" t="s">
        <v>56</v>
      </c>
      <c r="C155" t="s">
        <v>57</v>
      </c>
      <c r="D155" t="s">
        <v>97</v>
      </c>
      <c r="E155">
        <v>2024</v>
      </c>
      <c r="F155" s="4">
        <v>1929515</v>
      </c>
      <c r="G155" s="5">
        <v>2.0400000000000001E-2</v>
      </c>
      <c r="H155" s="6">
        <v>39362.11</v>
      </c>
      <c r="I155" t="s">
        <v>656</v>
      </c>
      <c r="J155" t="s">
        <v>657</v>
      </c>
      <c r="K155" t="s">
        <v>404</v>
      </c>
      <c r="L155" s="4">
        <v>2317897</v>
      </c>
      <c r="M155" s="7">
        <v>45361</v>
      </c>
    </row>
    <row r="156" spans="1:13">
      <c r="A156" t="s">
        <v>658</v>
      </c>
      <c r="B156" t="s">
        <v>69</v>
      </c>
      <c r="C156" t="s">
        <v>70</v>
      </c>
      <c r="D156" t="s">
        <v>71</v>
      </c>
      <c r="E156">
        <v>2022</v>
      </c>
      <c r="F156" s="4">
        <v>7121134</v>
      </c>
      <c r="G156" s="5">
        <v>1.8599999999999998E-2</v>
      </c>
      <c r="H156" s="6">
        <v>132453.09</v>
      </c>
      <c r="I156" t="s">
        <v>659</v>
      </c>
      <c r="J156" t="s">
        <v>660</v>
      </c>
      <c r="K156" t="s">
        <v>334</v>
      </c>
      <c r="L156" s="4">
        <v>8005494</v>
      </c>
      <c r="M156" s="7">
        <v>45668</v>
      </c>
    </row>
    <row r="157" spans="1:13">
      <c r="A157" t="s">
        <v>661</v>
      </c>
      <c r="B157" t="s">
        <v>87</v>
      </c>
      <c r="C157" t="s">
        <v>88</v>
      </c>
      <c r="D157" t="s">
        <v>97</v>
      </c>
      <c r="E157">
        <v>2023</v>
      </c>
      <c r="F157" s="4">
        <v>1209568</v>
      </c>
      <c r="G157" s="5">
        <v>2.0500000000000001E-2</v>
      </c>
      <c r="H157" s="6">
        <v>24796.14</v>
      </c>
      <c r="I157" t="s">
        <v>662</v>
      </c>
      <c r="J157" t="s">
        <v>663</v>
      </c>
      <c r="K157" t="s">
        <v>664</v>
      </c>
      <c r="L157" s="4">
        <v>1272549</v>
      </c>
      <c r="M157" s="7">
        <v>44759</v>
      </c>
    </row>
    <row r="158" spans="1:13">
      <c r="A158" t="s">
        <v>665</v>
      </c>
      <c r="B158" t="s">
        <v>87</v>
      </c>
      <c r="C158" t="s">
        <v>88</v>
      </c>
      <c r="D158" t="s">
        <v>82</v>
      </c>
      <c r="E158">
        <v>2021</v>
      </c>
      <c r="F158" s="4">
        <v>5158657</v>
      </c>
      <c r="G158" s="5">
        <v>1.4800000000000001E-2</v>
      </c>
      <c r="H158" s="6">
        <v>76348.12</v>
      </c>
      <c r="I158" t="s">
        <v>666</v>
      </c>
      <c r="J158" t="s">
        <v>667</v>
      </c>
      <c r="K158" t="s">
        <v>668</v>
      </c>
      <c r="L158" s="4">
        <v>4944248</v>
      </c>
      <c r="M158" s="7">
        <v>43985</v>
      </c>
    </row>
    <row r="159" spans="1:13">
      <c r="A159" t="s">
        <v>669</v>
      </c>
      <c r="B159" t="s">
        <v>137</v>
      </c>
      <c r="C159" t="s">
        <v>138</v>
      </c>
      <c r="D159" t="s">
        <v>51</v>
      </c>
      <c r="E159">
        <v>2021</v>
      </c>
      <c r="F159" s="4">
        <v>659434</v>
      </c>
      <c r="G159" s="5">
        <v>1.2699999999999999E-2</v>
      </c>
      <c r="H159" s="6">
        <v>8524.81</v>
      </c>
      <c r="I159" t="s">
        <v>670</v>
      </c>
      <c r="J159" t="s">
        <v>671</v>
      </c>
      <c r="K159" t="s">
        <v>672</v>
      </c>
      <c r="L159" s="4">
        <v>629798</v>
      </c>
      <c r="M159" s="7">
        <v>43887</v>
      </c>
    </row>
    <row r="160" spans="1:13">
      <c r="A160" t="s">
        <v>673</v>
      </c>
      <c r="B160" t="s">
        <v>87</v>
      </c>
      <c r="C160" t="s">
        <v>88</v>
      </c>
      <c r="D160" t="s">
        <v>577</v>
      </c>
      <c r="E160">
        <v>2022</v>
      </c>
      <c r="F160" s="4">
        <v>975194</v>
      </c>
      <c r="G160" s="5">
        <v>1.2500000000000001E-2</v>
      </c>
      <c r="H160" s="6">
        <v>12189.93</v>
      </c>
      <c r="I160" t="s">
        <v>674</v>
      </c>
      <c r="J160" t="s">
        <v>675</v>
      </c>
      <c r="K160" t="s">
        <v>676</v>
      </c>
      <c r="L160" s="4">
        <v>1123522</v>
      </c>
      <c r="M160" s="7">
        <v>44577</v>
      </c>
    </row>
    <row r="161" spans="1:13">
      <c r="A161" t="s">
        <v>677</v>
      </c>
      <c r="B161" t="s">
        <v>678</v>
      </c>
      <c r="C161" t="s">
        <v>50</v>
      </c>
      <c r="D161" t="s">
        <v>82</v>
      </c>
      <c r="E161">
        <v>2023</v>
      </c>
      <c r="F161" s="4">
        <v>3388815</v>
      </c>
      <c r="G161" s="5">
        <v>1.44E-2</v>
      </c>
      <c r="H161" s="6">
        <v>48798.94</v>
      </c>
      <c r="I161" t="s">
        <v>679</v>
      </c>
      <c r="J161" t="s">
        <v>680</v>
      </c>
      <c r="K161" t="s">
        <v>681</v>
      </c>
      <c r="L161" s="4">
        <v>3059386</v>
      </c>
      <c r="M161" s="7">
        <v>44241</v>
      </c>
    </row>
    <row r="162" spans="1:13">
      <c r="A162" t="s">
        <v>682</v>
      </c>
      <c r="B162" t="s">
        <v>137</v>
      </c>
      <c r="C162" t="s">
        <v>138</v>
      </c>
      <c r="D162" t="s">
        <v>82</v>
      </c>
      <c r="E162">
        <v>2023</v>
      </c>
      <c r="F162" s="4">
        <v>10114974</v>
      </c>
      <c r="G162" s="5">
        <v>1.4999999999999999E-2</v>
      </c>
      <c r="H162" s="6">
        <v>151724.60999999999</v>
      </c>
      <c r="I162" t="s">
        <v>683</v>
      </c>
      <c r="J162" t="s">
        <v>684</v>
      </c>
      <c r="K162" t="s">
        <v>217</v>
      </c>
      <c r="L162" s="4">
        <v>11354864</v>
      </c>
      <c r="M162" s="7">
        <v>45251</v>
      </c>
    </row>
    <row r="163" spans="1:13">
      <c r="A163" t="s">
        <v>685</v>
      </c>
      <c r="B163" t="s">
        <v>63</v>
      </c>
      <c r="C163" t="s">
        <v>64</v>
      </c>
      <c r="D163" t="s">
        <v>71</v>
      </c>
      <c r="E163">
        <v>2021</v>
      </c>
      <c r="F163" s="4">
        <v>7082254</v>
      </c>
      <c r="G163" s="5">
        <v>1.8499999999999999E-2</v>
      </c>
      <c r="H163" s="6">
        <v>131021.7</v>
      </c>
      <c r="I163" t="s">
        <v>686</v>
      </c>
      <c r="J163" t="s">
        <v>687</v>
      </c>
      <c r="K163" t="s">
        <v>688</v>
      </c>
      <c r="L163" s="4">
        <v>7397909</v>
      </c>
      <c r="M163" s="7">
        <v>44991</v>
      </c>
    </row>
    <row r="164" spans="1:13">
      <c r="A164" t="s">
        <v>689</v>
      </c>
      <c r="B164" t="s">
        <v>101</v>
      </c>
      <c r="C164" t="s">
        <v>102</v>
      </c>
      <c r="D164" t="s">
        <v>51</v>
      </c>
      <c r="E164">
        <v>2021</v>
      </c>
      <c r="F164" s="4">
        <v>775098</v>
      </c>
      <c r="G164" s="5">
        <v>1.29E-2</v>
      </c>
      <c r="H164" s="6">
        <v>9998.76</v>
      </c>
      <c r="I164" t="s">
        <v>690</v>
      </c>
      <c r="J164" t="s">
        <v>691</v>
      </c>
      <c r="K164" t="s">
        <v>692</v>
      </c>
      <c r="L164" s="4">
        <v>887684</v>
      </c>
      <c r="M164" s="7">
        <v>44802</v>
      </c>
    </row>
    <row r="165" spans="1:13">
      <c r="A165" t="s">
        <v>693</v>
      </c>
      <c r="B165" t="s">
        <v>150</v>
      </c>
      <c r="C165" t="s">
        <v>151</v>
      </c>
      <c r="D165" t="s">
        <v>58</v>
      </c>
      <c r="E165">
        <v>2023</v>
      </c>
      <c r="F165" s="4">
        <v>1071686</v>
      </c>
      <c r="G165" s="5">
        <v>9.2999999999999992E-3</v>
      </c>
      <c r="H165" s="6">
        <v>9966.68</v>
      </c>
      <c r="I165" t="s">
        <v>694</v>
      </c>
      <c r="J165" t="s">
        <v>695</v>
      </c>
      <c r="K165" t="s">
        <v>350</v>
      </c>
      <c r="L165" s="4">
        <v>1080161</v>
      </c>
      <c r="M165" s="7">
        <v>44373</v>
      </c>
    </row>
    <row r="166" spans="1:13">
      <c r="A166" t="s">
        <v>696</v>
      </c>
      <c r="B166" t="s">
        <v>49</v>
      </c>
      <c r="C166" t="s">
        <v>50</v>
      </c>
      <c r="D166" t="s">
        <v>51</v>
      </c>
      <c r="E166">
        <v>2022</v>
      </c>
      <c r="F166" s="4">
        <v>1047863</v>
      </c>
      <c r="G166" s="5">
        <v>1.21E-2</v>
      </c>
      <c r="H166" s="6">
        <v>12679.14</v>
      </c>
      <c r="I166" t="s">
        <v>697</v>
      </c>
      <c r="J166" t="s">
        <v>698</v>
      </c>
      <c r="K166" t="s">
        <v>699</v>
      </c>
      <c r="L166" s="4">
        <v>1306409</v>
      </c>
      <c r="M166" s="7">
        <v>43593</v>
      </c>
    </row>
    <row r="167" spans="1:13">
      <c r="A167" t="s">
        <v>700</v>
      </c>
      <c r="B167" t="s">
        <v>69</v>
      </c>
      <c r="C167" t="s">
        <v>70</v>
      </c>
      <c r="D167" t="s">
        <v>58</v>
      </c>
      <c r="E167">
        <v>2022</v>
      </c>
      <c r="F167" s="4">
        <v>741332</v>
      </c>
      <c r="G167" s="5">
        <v>9.5999999999999992E-3</v>
      </c>
      <c r="H167" s="6">
        <v>7116.79</v>
      </c>
      <c r="I167" t="s">
        <v>701</v>
      </c>
      <c r="J167" t="s">
        <v>702</v>
      </c>
      <c r="K167" t="s">
        <v>703</v>
      </c>
      <c r="L167" s="4">
        <v>901366</v>
      </c>
      <c r="M167" s="7">
        <v>45282</v>
      </c>
    </row>
    <row r="168" spans="1:13">
      <c r="A168" t="s">
        <v>704</v>
      </c>
      <c r="B168" t="s">
        <v>131</v>
      </c>
      <c r="C168" t="s">
        <v>132</v>
      </c>
      <c r="D168" t="s">
        <v>51</v>
      </c>
      <c r="E168">
        <v>2023</v>
      </c>
      <c r="F168" s="4">
        <v>497515</v>
      </c>
      <c r="G168" s="5">
        <v>1.2800000000000001E-2</v>
      </c>
      <c r="H168" s="6">
        <v>6368.19</v>
      </c>
      <c r="I168" t="s">
        <v>705</v>
      </c>
      <c r="J168" t="s">
        <v>706</v>
      </c>
      <c r="K168" t="s">
        <v>707</v>
      </c>
      <c r="L168" s="4">
        <v>496495</v>
      </c>
      <c r="M168" s="7">
        <v>45640</v>
      </c>
    </row>
    <row r="169" spans="1:13">
      <c r="A169" t="s">
        <v>708</v>
      </c>
      <c r="B169" t="s">
        <v>131</v>
      </c>
      <c r="C169" t="s">
        <v>132</v>
      </c>
      <c r="D169" t="s">
        <v>51</v>
      </c>
      <c r="E169">
        <v>2022</v>
      </c>
      <c r="F169" s="4">
        <v>887818</v>
      </c>
      <c r="G169" s="5">
        <v>1.2800000000000001E-2</v>
      </c>
      <c r="H169" s="6">
        <v>11364.07</v>
      </c>
      <c r="I169" t="s">
        <v>709</v>
      </c>
      <c r="J169" t="s">
        <v>550</v>
      </c>
      <c r="K169" t="s">
        <v>710</v>
      </c>
      <c r="L169" s="4">
        <v>948092</v>
      </c>
      <c r="M169" s="7">
        <v>45451</v>
      </c>
    </row>
    <row r="170" spans="1:13">
      <c r="A170" t="s">
        <v>711</v>
      </c>
      <c r="B170" t="s">
        <v>150</v>
      </c>
      <c r="C170" t="s">
        <v>151</v>
      </c>
      <c r="D170" t="s">
        <v>82</v>
      </c>
      <c r="E170">
        <v>2023</v>
      </c>
      <c r="F170" s="4">
        <v>5916215</v>
      </c>
      <c r="G170" s="5">
        <v>1.46E-2</v>
      </c>
      <c r="H170" s="6">
        <v>86376.74</v>
      </c>
      <c r="I170" t="s">
        <v>712</v>
      </c>
      <c r="J170" t="s">
        <v>713</v>
      </c>
      <c r="K170" t="s">
        <v>105</v>
      </c>
      <c r="L170" s="4">
        <v>6429691</v>
      </c>
      <c r="M170" s="7"/>
    </row>
    <row r="171" spans="1:13">
      <c r="A171" t="s">
        <v>714</v>
      </c>
      <c r="B171" t="s">
        <v>63</v>
      </c>
      <c r="C171" t="s">
        <v>64</v>
      </c>
      <c r="D171" t="s">
        <v>97</v>
      </c>
      <c r="E171">
        <v>2024</v>
      </c>
      <c r="F171" s="4">
        <v>2104490</v>
      </c>
      <c r="G171" s="5">
        <v>2.0500000000000001E-2</v>
      </c>
      <c r="H171" s="6">
        <v>43142.04</v>
      </c>
      <c r="I171" t="s">
        <v>715</v>
      </c>
      <c r="J171" t="s">
        <v>716</v>
      </c>
      <c r="K171" t="s">
        <v>186</v>
      </c>
      <c r="L171" s="4">
        <v>2293355</v>
      </c>
      <c r="M171" s="7">
        <v>44556</v>
      </c>
    </row>
    <row r="172" spans="1:13">
      <c r="A172" t="s">
        <v>717</v>
      </c>
      <c r="B172" t="s">
        <v>101</v>
      </c>
      <c r="C172" t="s">
        <v>102</v>
      </c>
      <c r="D172" t="s">
        <v>51</v>
      </c>
      <c r="E172">
        <v>2021</v>
      </c>
      <c r="F172" s="4">
        <v>417583</v>
      </c>
      <c r="G172" s="5">
        <v>1.29E-2</v>
      </c>
      <c r="H172" s="6">
        <v>5386.82</v>
      </c>
      <c r="I172" t="s">
        <v>718</v>
      </c>
      <c r="J172" t="s">
        <v>719</v>
      </c>
      <c r="K172" t="s">
        <v>302</v>
      </c>
      <c r="L172" s="4">
        <v>384529</v>
      </c>
      <c r="M172" s="7">
        <v>44071</v>
      </c>
    </row>
    <row r="173" spans="1:13">
      <c r="A173" t="s">
        <v>720</v>
      </c>
      <c r="B173" t="s">
        <v>87</v>
      </c>
      <c r="C173" t="s">
        <v>88</v>
      </c>
      <c r="D173" t="s">
        <v>97</v>
      </c>
      <c r="E173">
        <v>2021</v>
      </c>
      <c r="F173" s="4">
        <v>4099798</v>
      </c>
      <c r="G173" s="5">
        <v>2.0500000000000001E-2</v>
      </c>
      <c r="H173" s="6">
        <v>84045.86</v>
      </c>
      <c r="I173" t="s">
        <v>721</v>
      </c>
      <c r="J173" t="s">
        <v>722</v>
      </c>
      <c r="K173" t="s">
        <v>723</v>
      </c>
      <c r="L173" s="4">
        <v>4607120</v>
      </c>
      <c r="M173" s="7">
        <v>45461</v>
      </c>
    </row>
    <row r="174" spans="1:13">
      <c r="A174" t="s">
        <v>724</v>
      </c>
      <c r="B174" t="s">
        <v>150</v>
      </c>
      <c r="C174" t="s">
        <v>151</v>
      </c>
      <c r="D174" t="s">
        <v>97</v>
      </c>
      <c r="E174">
        <v>2023</v>
      </c>
      <c r="F174" s="4">
        <v>1722944</v>
      </c>
      <c r="G174" s="5">
        <v>2.0299999999999999E-2</v>
      </c>
      <c r="H174" s="6">
        <v>34975.760000000002</v>
      </c>
      <c r="I174" t="s">
        <v>725</v>
      </c>
      <c r="J174" t="s">
        <v>726</v>
      </c>
      <c r="K174" t="s">
        <v>377</v>
      </c>
      <c r="L174" s="4">
        <v>2038385</v>
      </c>
      <c r="M174" s="7">
        <v>45083</v>
      </c>
    </row>
    <row r="175" spans="1:13">
      <c r="A175" t="s">
        <v>727</v>
      </c>
      <c r="B175" t="s">
        <v>76</v>
      </c>
      <c r="C175" t="s">
        <v>77</v>
      </c>
      <c r="D175" t="s">
        <v>82</v>
      </c>
      <c r="E175">
        <v>2021</v>
      </c>
      <c r="F175" s="4">
        <v>14112178</v>
      </c>
      <c r="G175" s="5">
        <v>1.47E-2</v>
      </c>
      <c r="H175" s="6">
        <v>207449.02</v>
      </c>
      <c r="I175" t="s">
        <v>728</v>
      </c>
      <c r="J175" t="s">
        <v>729</v>
      </c>
      <c r="K175" t="s">
        <v>396</v>
      </c>
      <c r="L175" s="4" t="s">
        <v>84</v>
      </c>
      <c r="M175" s="7">
        <v>44517</v>
      </c>
    </row>
    <row r="176" spans="1:13">
      <c r="A176" t="s">
        <v>730</v>
      </c>
      <c r="B176" t="s">
        <v>49</v>
      </c>
      <c r="C176" t="s">
        <v>50</v>
      </c>
      <c r="D176" t="s">
        <v>51</v>
      </c>
      <c r="E176">
        <v>2021</v>
      </c>
      <c r="F176" s="4">
        <v>692261</v>
      </c>
      <c r="G176" s="5">
        <v>1.21E-2</v>
      </c>
      <c r="H176" s="6">
        <v>8456.36</v>
      </c>
      <c r="I176" t="s">
        <v>731</v>
      </c>
      <c r="J176" t="s">
        <v>732</v>
      </c>
      <c r="K176" t="s">
        <v>448</v>
      </c>
      <c r="L176" s="4">
        <v>732378</v>
      </c>
      <c r="M176" s="7">
        <v>43602</v>
      </c>
    </row>
    <row r="177" spans="1:13">
      <c r="A177" t="s">
        <v>733</v>
      </c>
      <c r="B177" t="s">
        <v>137</v>
      </c>
      <c r="C177" t="s">
        <v>138</v>
      </c>
      <c r="D177" t="s">
        <v>51</v>
      </c>
      <c r="E177">
        <v>2023</v>
      </c>
      <c r="F177" s="4">
        <v>611336</v>
      </c>
      <c r="G177" s="5">
        <v>1.2699999999999999E-2</v>
      </c>
      <c r="H177" s="6">
        <v>7763.97</v>
      </c>
      <c r="I177" t="s">
        <v>734</v>
      </c>
      <c r="J177" t="s">
        <v>735</v>
      </c>
      <c r="K177" t="s">
        <v>692</v>
      </c>
      <c r="L177" s="4">
        <v>700944</v>
      </c>
      <c r="M177" s="7">
        <v>44714</v>
      </c>
    </row>
    <row r="178" spans="1:13">
      <c r="A178" t="s">
        <v>736</v>
      </c>
      <c r="B178" t="s">
        <v>131</v>
      </c>
      <c r="C178" t="s">
        <v>132</v>
      </c>
      <c r="D178" t="s">
        <v>82</v>
      </c>
      <c r="E178">
        <v>2024</v>
      </c>
      <c r="F178" s="4">
        <v>3784256</v>
      </c>
      <c r="G178" s="5">
        <v>1.5100000000000001E-2</v>
      </c>
      <c r="H178" s="6">
        <v>57142.27</v>
      </c>
      <c r="I178" t="s">
        <v>737</v>
      </c>
      <c r="J178" t="s">
        <v>738</v>
      </c>
      <c r="K178" t="s">
        <v>739</v>
      </c>
      <c r="L178" s="4">
        <v>4133853</v>
      </c>
      <c r="M178" s="7">
        <v>45202</v>
      </c>
    </row>
    <row r="179" spans="1:13">
      <c r="A179" t="s">
        <v>740</v>
      </c>
      <c r="B179" t="s">
        <v>131</v>
      </c>
      <c r="C179" t="s">
        <v>132</v>
      </c>
      <c r="D179" t="s">
        <v>51</v>
      </c>
      <c r="E179">
        <v>2023</v>
      </c>
      <c r="F179" s="4">
        <v>293678</v>
      </c>
      <c r="G179" s="5">
        <v>1.2800000000000001E-2</v>
      </c>
      <c r="H179" s="6">
        <v>3759.08</v>
      </c>
      <c r="I179" t="s">
        <v>741</v>
      </c>
      <c r="J179" t="s">
        <v>742</v>
      </c>
      <c r="K179" t="s">
        <v>252</v>
      </c>
      <c r="L179" s="4">
        <v>356292</v>
      </c>
      <c r="M179" s="7">
        <v>44373</v>
      </c>
    </row>
    <row r="180" spans="1:13">
      <c r="A180" t="s">
        <v>743</v>
      </c>
      <c r="B180" t="s">
        <v>49</v>
      </c>
      <c r="C180" t="s">
        <v>50</v>
      </c>
      <c r="D180" t="s">
        <v>82</v>
      </c>
      <c r="E180">
        <v>2024</v>
      </c>
      <c r="F180" s="4">
        <v>4045827</v>
      </c>
      <c r="G180" s="5">
        <v>1.44E-2</v>
      </c>
      <c r="H180" s="6">
        <v>58259.91</v>
      </c>
      <c r="I180" t="s">
        <v>744</v>
      </c>
      <c r="J180" t="s">
        <v>745</v>
      </c>
      <c r="K180" t="s">
        <v>647</v>
      </c>
      <c r="L180" s="4">
        <v>4587359</v>
      </c>
      <c r="M180" s="7">
        <v>45305</v>
      </c>
    </row>
    <row r="181" spans="1:13">
      <c r="A181" t="s">
        <v>746</v>
      </c>
      <c r="B181" t="s">
        <v>69</v>
      </c>
      <c r="C181" t="s">
        <v>70</v>
      </c>
      <c r="D181" t="s">
        <v>82</v>
      </c>
      <c r="E181">
        <v>2022</v>
      </c>
      <c r="F181" s="4">
        <v>7676576</v>
      </c>
      <c r="G181" s="5">
        <v>1.49E-2</v>
      </c>
      <c r="H181" s="6">
        <v>114380.98</v>
      </c>
      <c r="I181" t="s">
        <v>747</v>
      </c>
      <c r="J181" t="s">
        <v>748</v>
      </c>
      <c r="K181" t="s">
        <v>749</v>
      </c>
      <c r="L181" s="4">
        <v>8443673</v>
      </c>
      <c r="M181" s="7">
        <v>45582</v>
      </c>
    </row>
    <row r="182" spans="1:13">
      <c r="A182" t="s">
        <v>750</v>
      </c>
      <c r="B182" t="s">
        <v>87</v>
      </c>
      <c r="C182" t="s">
        <v>88</v>
      </c>
      <c r="D182" t="s">
        <v>82</v>
      </c>
      <c r="E182">
        <v>2022</v>
      </c>
      <c r="F182" s="4">
        <v>3398716</v>
      </c>
      <c r="G182" s="5">
        <v>1.4800000000000001E-2</v>
      </c>
      <c r="H182" s="6">
        <v>50301</v>
      </c>
      <c r="I182" t="s">
        <v>751</v>
      </c>
      <c r="J182" t="s">
        <v>752</v>
      </c>
      <c r="K182" t="s">
        <v>753</v>
      </c>
      <c r="L182" s="4">
        <v>4051058</v>
      </c>
      <c r="M182" s="7">
        <v>44522</v>
      </c>
    </row>
    <row r="183" spans="1:13">
      <c r="A183" t="s">
        <v>754</v>
      </c>
      <c r="B183" t="s">
        <v>150</v>
      </c>
      <c r="C183" t="s">
        <v>151</v>
      </c>
      <c r="D183" t="s">
        <v>51</v>
      </c>
      <c r="E183">
        <v>2021</v>
      </c>
      <c r="F183" s="4">
        <v>693685</v>
      </c>
      <c r="G183" s="5">
        <v>1.23E-2</v>
      </c>
      <c r="H183" s="6">
        <v>8532.33</v>
      </c>
      <c r="I183" t="s">
        <v>755</v>
      </c>
      <c r="J183" t="s">
        <v>756</v>
      </c>
      <c r="K183" t="s">
        <v>757</v>
      </c>
      <c r="L183" s="4">
        <v>649964</v>
      </c>
      <c r="M183" s="7">
        <v>43879</v>
      </c>
    </row>
    <row r="184" spans="1:13">
      <c r="A184" t="s">
        <v>758</v>
      </c>
      <c r="B184" t="s">
        <v>137</v>
      </c>
      <c r="C184" t="s">
        <v>138</v>
      </c>
      <c r="D184" t="s">
        <v>82</v>
      </c>
      <c r="E184">
        <v>2023</v>
      </c>
      <c r="F184" s="4">
        <v>12600769</v>
      </c>
      <c r="G184" s="5">
        <v>1.4999999999999999E-2</v>
      </c>
      <c r="H184" s="6">
        <v>189011.54</v>
      </c>
      <c r="I184" t="s">
        <v>759</v>
      </c>
      <c r="J184" t="s">
        <v>760</v>
      </c>
      <c r="K184" t="s">
        <v>761</v>
      </c>
      <c r="L184" s="4">
        <v>13086245</v>
      </c>
      <c r="M184" s="7">
        <v>45631</v>
      </c>
    </row>
    <row r="185" spans="1:13">
      <c r="A185" t="s">
        <v>762</v>
      </c>
      <c r="B185" t="s">
        <v>150</v>
      </c>
      <c r="C185" t="s">
        <v>151</v>
      </c>
      <c r="D185" t="s">
        <v>97</v>
      </c>
      <c r="E185">
        <v>2021</v>
      </c>
      <c r="F185" s="4">
        <v>3554603</v>
      </c>
      <c r="G185" s="5">
        <v>2.0299999999999999E-2</v>
      </c>
      <c r="H185" s="6">
        <v>72158.44</v>
      </c>
      <c r="I185" t="s">
        <v>763</v>
      </c>
      <c r="J185" t="s">
        <v>764</v>
      </c>
      <c r="K185" t="s">
        <v>765</v>
      </c>
      <c r="L185" s="4">
        <v>4226559</v>
      </c>
      <c r="M185" s="7">
        <v>44569</v>
      </c>
    </row>
    <row r="186" spans="1:13">
      <c r="A186" t="s">
        <v>766</v>
      </c>
      <c r="B186" t="s">
        <v>69</v>
      </c>
      <c r="C186" t="s">
        <v>70</v>
      </c>
      <c r="D186" t="s">
        <v>82</v>
      </c>
      <c r="E186">
        <v>2021</v>
      </c>
      <c r="F186" s="4">
        <v>4073352</v>
      </c>
      <c r="G186" s="5">
        <v>1.49E-2</v>
      </c>
      <c r="H186" s="6">
        <v>60692.94</v>
      </c>
      <c r="I186" t="s">
        <v>767</v>
      </c>
      <c r="J186" t="s">
        <v>768</v>
      </c>
      <c r="K186" t="s">
        <v>769</v>
      </c>
      <c r="L186" s="4">
        <v>4778778</v>
      </c>
      <c r="M186" s="7">
        <v>45613</v>
      </c>
    </row>
    <row r="187" spans="1:13">
      <c r="A187" t="s">
        <v>770</v>
      </c>
      <c r="B187" t="s">
        <v>87</v>
      </c>
      <c r="C187" t="s">
        <v>88</v>
      </c>
      <c r="D187" t="s">
        <v>51</v>
      </c>
      <c r="E187">
        <v>2022</v>
      </c>
      <c r="F187" s="4">
        <v>560454</v>
      </c>
      <c r="G187" s="5">
        <v>1.2500000000000001E-2</v>
      </c>
      <c r="H187" s="6">
        <v>7005.68</v>
      </c>
      <c r="I187" t="s">
        <v>771</v>
      </c>
      <c r="J187" t="s">
        <v>772</v>
      </c>
      <c r="K187" t="s">
        <v>773</v>
      </c>
      <c r="L187" s="4">
        <v>510404</v>
      </c>
      <c r="M187" s="7">
        <v>44991</v>
      </c>
    </row>
    <row r="188" spans="1:13">
      <c r="A188" t="s">
        <v>774</v>
      </c>
      <c r="B188" t="s">
        <v>101</v>
      </c>
      <c r="C188" t="s">
        <v>102</v>
      </c>
      <c r="D188" t="s">
        <v>82</v>
      </c>
      <c r="E188">
        <v>2024</v>
      </c>
      <c r="F188" s="4">
        <v>3979130</v>
      </c>
      <c r="G188" s="5">
        <v>1.52E-2</v>
      </c>
      <c r="H188" s="6">
        <v>60482.78</v>
      </c>
      <c r="I188" t="s">
        <v>775</v>
      </c>
      <c r="J188" t="s">
        <v>776</v>
      </c>
      <c r="K188" t="s">
        <v>392</v>
      </c>
      <c r="L188" s="4">
        <v>3889492</v>
      </c>
      <c r="M188" s="7">
        <v>44658</v>
      </c>
    </row>
    <row r="189" spans="1:13">
      <c r="A189" t="s">
        <v>777</v>
      </c>
      <c r="B189" t="s">
        <v>76</v>
      </c>
      <c r="C189" t="s">
        <v>77</v>
      </c>
      <c r="D189" t="s">
        <v>71</v>
      </c>
      <c r="E189">
        <v>2024</v>
      </c>
      <c r="F189" s="4">
        <v>5012323</v>
      </c>
      <c r="G189" s="5">
        <v>1.84E-2</v>
      </c>
      <c r="H189" s="6">
        <v>92226.74</v>
      </c>
      <c r="I189" t="s">
        <v>778</v>
      </c>
      <c r="J189" t="s">
        <v>779</v>
      </c>
      <c r="K189" t="s">
        <v>780</v>
      </c>
      <c r="L189" s="4">
        <v>5122836</v>
      </c>
      <c r="M189" s="7">
        <v>44713</v>
      </c>
    </row>
    <row r="190" spans="1:13">
      <c r="A190" t="s">
        <v>544</v>
      </c>
      <c r="B190" t="s">
        <v>76</v>
      </c>
      <c r="C190" t="s">
        <v>77</v>
      </c>
      <c r="D190" t="s">
        <v>58</v>
      </c>
      <c r="E190">
        <v>2023</v>
      </c>
      <c r="F190" s="4">
        <v>2275024</v>
      </c>
      <c r="G190" s="5">
        <v>9.4000000000000004E-3</v>
      </c>
      <c r="H190" s="6">
        <v>21385.23</v>
      </c>
      <c r="I190" t="s">
        <v>781</v>
      </c>
      <c r="J190" t="s">
        <v>782</v>
      </c>
      <c r="K190" t="s">
        <v>783</v>
      </c>
      <c r="L190" s="4">
        <v>2306415</v>
      </c>
      <c r="M190" s="7">
        <v>44398</v>
      </c>
    </row>
    <row r="191" spans="1:13">
      <c r="A191" t="s">
        <v>784</v>
      </c>
      <c r="B191" t="s">
        <v>137</v>
      </c>
      <c r="C191" t="s">
        <v>138</v>
      </c>
      <c r="D191" t="s">
        <v>71</v>
      </c>
      <c r="E191">
        <v>2022</v>
      </c>
      <c r="F191" s="4">
        <v>2708057</v>
      </c>
      <c r="G191" s="5">
        <v>1.8700000000000001E-2</v>
      </c>
      <c r="H191" s="6">
        <v>50640.67</v>
      </c>
      <c r="I191" t="s">
        <v>785</v>
      </c>
      <c r="J191" t="s">
        <v>786</v>
      </c>
      <c r="K191" t="s">
        <v>787</v>
      </c>
      <c r="L191" s="4">
        <v>3108373</v>
      </c>
      <c r="M191" s="7">
        <v>44243</v>
      </c>
    </row>
    <row r="192" spans="1:13">
      <c r="A192" t="s">
        <v>788</v>
      </c>
      <c r="B192" t="s">
        <v>150</v>
      </c>
      <c r="C192" t="s">
        <v>151</v>
      </c>
      <c r="D192" t="s">
        <v>97</v>
      </c>
      <c r="E192">
        <v>2024</v>
      </c>
      <c r="F192" s="4">
        <v>4517267</v>
      </c>
      <c r="G192" s="5">
        <v>2.0299999999999999E-2</v>
      </c>
      <c r="H192" s="6">
        <v>91700.52</v>
      </c>
      <c r="I192" t="s">
        <v>789</v>
      </c>
      <c r="J192" t="s">
        <v>790</v>
      </c>
      <c r="K192" t="s">
        <v>791</v>
      </c>
      <c r="L192" s="4">
        <v>5508440</v>
      </c>
      <c r="M192" s="7">
        <v>45589</v>
      </c>
    </row>
    <row r="193" spans="1:13">
      <c r="A193" t="s">
        <v>792</v>
      </c>
      <c r="B193" t="s">
        <v>150</v>
      </c>
      <c r="C193" t="s">
        <v>151</v>
      </c>
      <c r="D193" t="s">
        <v>51</v>
      </c>
      <c r="E193">
        <v>2022</v>
      </c>
      <c r="F193" s="4">
        <v>672346</v>
      </c>
      <c r="G193" s="5">
        <v>1.23E-2</v>
      </c>
      <c r="H193" s="6">
        <v>8269.86</v>
      </c>
      <c r="I193" t="s">
        <v>793</v>
      </c>
      <c r="J193" t="s">
        <v>794</v>
      </c>
      <c r="K193" t="s">
        <v>795</v>
      </c>
      <c r="L193" s="4">
        <v>814412</v>
      </c>
      <c r="M193" s="7">
        <v>45515</v>
      </c>
    </row>
    <row r="194" spans="1:13">
      <c r="A194" t="s">
        <v>796</v>
      </c>
      <c r="B194" t="s">
        <v>49</v>
      </c>
      <c r="C194" t="s">
        <v>50</v>
      </c>
      <c r="D194" t="s">
        <v>58</v>
      </c>
      <c r="E194">
        <v>2023</v>
      </c>
      <c r="F194" s="4">
        <v>1499902</v>
      </c>
      <c r="G194" s="5">
        <v>9.1000000000000004E-3</v>
      </c>
      <c r="H194" s="6">
        <v>13649.11</v>
      </c>
      <c r="I194" t="s">
        <v>797</v>
      </c>
      <c r="J194" t="s">
        <v>798</v>
      </c>
      <c r="K194" t="s">
        <v>672</v>
      </c>
      <c r="L194" s="4">
        <v>1683002</v>
      </c>
      <c r="M194" s="7">
        <v>43840</v>
      </c>
    </row>
    <row r="195" spans="1:13">
      <c r="A195" t="s">
        <v>799</v>
      </c>
      <c r="B195" t="s">
        <v>101</v>
      </c>
      <c r="C195" t="s">
        <v>102</v>
      </c>
      <c r="D195" t="s">
        <v>71</v>
      </c>
      <c r="E195">
        <v>2022</v>
      </c>
      <c r="F195" s="4">
        <v>7105402</v>
      </c>
      <c r="G195" s="5">
        <v>1.89E-2</v>
      </c>
      <c r="H195" s="6">
        <v>134292.1</v>
      </c>
      <c r="I195" t="s">
        <v>800</v>
      </c>
      <c r="J195" t="s">
        <v>801</v>
      </c>
      <c r="K195" t="s">
        <v>802</v>
      </c>
      <c r="L195" s="4">
        <v>6488681</v>
      </c>
      <c r="M195" s="7">
        <v>44282</v>
      </c>
    </row>
    <row r="196" spans="1:13">
      <c r="A196" t="s">
        <v>803</v>
      </c>
      <c r="B196" t="s">
        <v>150</v>
      </c>
      <c r="C196" t="s">
        <v>151</v>
      </c>
      <c r="D196" t="s">
        <v>51</v>
      </c>
      <c r="E196">
        <v>2023</v>
      </c>
      <c r="F196" s="4">
        <v>991719</v>
      </c>
      <c r="G196" s="5">
        <v>1.23E-2</v>
      </c>
      <c r="H196" s="6">
        <v>12198.14</v>
      </c>
      <c r="I196" t="s">
        <v>804</v>
      </c>
      <c r="J196" t="s">
        <v>805</v>
      </c>
      <c r="K196" t="s">
        <v>806</v>
      </c>
      <c r="L196" s="4">
        <v>915208</v>
      </c>
      <c r="M196" s="7">
        <v>43924</v>
      </c>
    </row>
    <row r="197" spans="1:13">
      <c r="A197" t="s">
        <v>807</v>
      </c>
      <c r="B197" t="s">
        <v>137</v>
      </c>
      <c r="C197" t="s">
        <v>138</v>
      </c>
      <c r="D197" t="s">
        <v>71</v>
      </c>
      <c r="E197">
        <v>2024</v>
      </c>
      <c r="F197" s="4">
        <v>119505943</v>
      </c>
      <c r="G197" s="5">
        <v>1.8700000000000001E-2</v>
      </c>
      <c r="H197" s="6">
        <v>126686.63</v>
      </c>
      <c r="I197" t="s">
        <v>808</v>
      </c>
      <c r="J197" t="s">
        <v>809</v>
      </c>
      <c r="K197" t="s">
        <v>692</v>
      </c>
      <c r="L197" s="4">
        <v>6142565</v>
      </c>
      <c r="M197" s="7">
        <v>44656</v>
      </c>
    </row>
    <row r="198" spans="1:13">
      <c r="A198" t="s">
        <v>810</v>
      </c>
      <c r="B198" t="s">
        <v>131</v>
      </c>
      <c r="C198" t="s">
        <v>132</v>
      </c>
      <c r="D198" t="s">
        <v>97</v>
      </c>
      <c r="E198">
        <v>2021</v>
      </c>
      <c r="F198" s="4">
        <v>2893487</v>
      </c>
      <c r="G198" s="5">
        <v>2.0799999999999999E-2</v>
      </c>
      <c r="H198" s="6">
        <v>60184.53</v>
      </c>
      <c r="I198" t="s">
        <v>811</v>
      </c>
      <c r="J198" t="s">
        <v>812</v>
      </c>
      <c r="K198" t="s">
        <v>813</v>
      </c>
      <c r="L198" s="4">
        <v>3266020</v>
      </c>
      <c r="M198" s="7">
        <v>43546</v>
      </c>
    </row>
    <row r="199" spans="1:13">
      <c r="A199" t="s">
        <v>814</v>
      </c>
      <c r="B199" t="s">
        <v>63</v>
      </c>
      <c r="C199" t="s">
        <v>138</v>
      </c>
      <c r="D199" t="s">
        <v>51</v>
      </c>
      <c r="E199">
        <v>2024</v>
      </c>
      <c r="F199" s="4">
        <v>731615</v>
      </c>
      <c r="G199" s="5">
        <v>1.2500000000000001E-2</v>
      </c>
      <c r="H199" s="6">
        <v>9145.19</v>
      </c>
      <c r="I199" t="s">
        <v>815</v>
      </c>
      <c r="J199" t="s">
        <v>816</v>
      </c>
      <c r="K199" t="s">
        <v>817</v>
      </c>
      <c r="L199" s="4">
        <v>871155</v>
      </c>
      <c r="M199" s="7">
        <v>44411</v>
      </c>
    </row>
    <row r="200" spans="1:13">
      <c r="A200" t="s">
        <v>210</v>
      </c>
      <c r="B200" t="s">
        <v>56</v>
      </c>
      <c r="C200" t="s">
        <v>57</v>
      </c>
      <c r="D200" t="s">
        <v>82</v>
      </c>
      <c r="E200">
        <v>2021</v>
      </c>
      <c r="F200" s="4">
        <v>4913878</v>
      </c>
      <c r="G200" s="5">
        <v>1.47E-2</v>
      </c>
      <c r="H200" s="6">
        <v>72234.009999999995</v>
      </c>
      <c r="I200" t="s">
        <v>818</v>
      </c>
      <c r="J200" t="s">
        <v>819</v>
      </c>
      <c r="K200" t="s">
        <v>381</v>
      </c>
      <c r="L200" s="4">
        <v>4779694</v>
      </c>
      <c r="M200" s="7">
        <v>45434</v>
      </c>
    </row>
    <row r="201" spans="1:13">
      <c r="A201" t="s">
        <v>820</v>
      </c>
      <c r="B201" t="s">
        <v>150</v>
      </c>
      <c r="C201" t="s">
        <v>151</v>
      </c>
      <c r="D201" t="s">
        <v>97</v>
      </c>
      <c r="E201">
        <v>2021</v>
      </c>
      <c r="F201" s="4">
        <v>716157</v>
      </c>
      <c r="G201" s="5">
        <v>2.0299999999999999E-2</v>
      </c>
      <c r="H201" s="6">
        <v>14537.99</v>
      </c>
      <c r="I201" t="s">
        <v>821</v>
      </c>
      <c r="J201" t="s">
        <v>822</v>
      </c>
      <c r="K201" t="s">
        <v>627</v>
      </c>
      <c r="L201" s="4">
        <v>760915</v>
      </c>
      <c r="M201" s="7">
        <v>43874</v>
      </c>
    </row>
    <row r="202" spans="1:13">
      <c r="A202" t="s">
        <v>758</v>
      </c>
      <c r="B202" t="s">
        <v>131</v>
      </c>
      <c r="C202" t="s">
        <v>132</v>
      </c>
      <c r="D202" t="s">
        <v>51</v>
      </c>
      <c r="E202">
        <v>2023</v>
      </c>
      <c r="F202" s="4">
        <v>675517</v>
      </c>
      <c r="G202" s="5">
        <v>1.2800000000000001E-2</v>
      </c>
      <c r="H202" s="6">
        <v>8646.6200000000008</v>
      </c>
      <c r="I202" t="s">
        <v>823</v>
      </c>
      <c r="J202" t="s">
        <v>824</v>
      </c>
      <c r="K202" t="s">
        <v>564</v>
      </c>
      <c r="L202" s="4">
        <v>800648</v>
      </c>
      <c r="M202" s="7">
        <v>44205</v>
      </c>
    </row>
    <row r="203" spans="1:13">
      <c r="A203" t="s">
        <v>825</v>
      </c>
      <c r="B203" t="s">
        <v>49</v>
      </c>
      <c r="C203" t="s">
        <v>50</v>
      </c>
      <c r="D203" t="s">
        <v>425</v>
      </c>
      <c r="E203">
        <v>2024</v>
      </c>
      <c r="F203" s="4">
        <v>3739727</v>
      </c>
      <c r="G203" s="5">
        <v>9.1000000000000004E-3</v>
      </c>
      <c r="H203" s="6">
        <v>34031.519999999997</v>
      </c>
      <c r="I203" t="s">
        <v>826</v>
      </c>
      <c r="J203" t="s">
        <v>827</v>
      </c>
      <c r="K203" t="s">
        <v>828</v>
      </c>
      <c r="L203" s="4">
        <v>4110447</v>
      </c>
      <c r="M203" s="7">
        <v>45094</v>
      </c>
    </row>
    <row r="204" spans="1:13">
      <c r="A204" t="s">
        <v>829</v>
      </c>
      <c r="B204" t="s">
        <v>131</v>
      </c>
      <c r="C204" t="s">
        <v>132</v>
      </c>
      <c r="D204" t="s">
        <v>82</v>
      </c>
      <c r="E204">
        <v>2024</v>
      </c>
      <c r="F204" s="4">
        <v>10738987</v>
      </c>
      <c r="G204" s="5">
        <v>1.5100000000000001E-2</v>
      </c>
      <c r="H204" s="6">
        <v>162158.70000000001</v>
      </c>
      <c r="I204" t="s">
        <v>830</v>
      </c>
      <c r="J204" t="s">
        <v>831</v>
      </c>
      <c r="K204" t="s">
        <v>832</v>
      </c>
      <c r="L204" s="4">
        <v>12928841</v>
      </c>
      <c r="M204" s="7">
        <v>45271</v>
      </c>
    </row>
    <row r="205" spans="1:13">
      <c r="A205" t="s">
        <v>833</v>
      </c>
      <c r="B205" t="s">
        <v>87</v>
      </c>
      <c r="C205" t="s">
        <v>88</v>
      </c>
      <c r="D205" t="s">
        <v>82</v>
      </c>
      <c r="E205">
        <v>2022</v>
      </c>
      <c r="F205" s="4">
        <v>15702781</v>
      </c>
      <c r="G205" s="5">
        <v>1.4800000000000001E-2</v>
      </c>
      <c r="H205" s="6">
        <v>232401.16</v>
      </c>
      <c r="I205" t="s">
        <v>834</v>
      </c>
      <c r="J205" t="s">
        <v>835</v>
      </c>
      <c r="K205" t="s">
        <v>836</v>
      </c>
      <c r="L205" s="4">
        <v>19561379</v>
      </c>
      <c r="M205" s="7">
        <v>43689</v>
      </c>
    </row>
    <row r="206" spans="1:13">
      <c r="A206" t="s">
        <v>837</v>
      </c>
      <c r="B206" t="s">
        <v>63</v>
      </c>
      <c r="C206" t="s">
        <v>64</v>
      </c>
      <c r="D206" t="s">
        <v>97</v>
      </c>
      <c r="E206">
        <v>2024</v>
      </c>
      <c r="F206" s="4">
        <v>4133455</v>
      </c>
      <c r="G206" s="5">
        <v>2.0500000000000001E-2</v>
      </c>
      <c r="H206" s="6">
        <v>84735.83</v>
      </c>
      <c r="I206" t="s">
        <v>838</v>
      </c>
      <c r="J206" t="s">
        <v>839</v>
      </c>
      <c r="K206" t="s">
        <v>765</v>
      </c>
      <c r="L206" s="4">
        <v>4549124</v>
      </c>
      <c r="M206" s="7">
        <v>44377</v>
      </c>
    </row>
    <row r="207" spans="1:13">
      <c r="A207" t="s">
        <v>840</v>
      </c>
      <c r="B207" t="s">
        <v>101</v>
      </c>
      <c r="C207" t="s">
        <v>102</v>
      </c>
      <c r="D207" t="s">
        <v>58</v>
      </c>
      <c r="E207">
        <v>2023</v>
      </c>
      <c r="F207" s="4">
        <v>808384</v>
      </c>
      <c r="G207" s="5">
        <v>9.9000000000000008E-3</v>
      </c>
      <c r="H207" s="6">
        <v>8003</v>
      </c>
      <c r="I207" t="s">
        <v>841</v>
      </c>
      <c r="J207" t="s">
        <v>842</v>
      </c>
      <c r="K207" t="s">
        <v>99</v>
      </c>
      <c r="L207" s="4">
        <v>979389</v>
      </c>
      <c r="M207" s="7">
        <v>44982</v>
      </c>
    </row>
    <row r="208" spans="1:13">
      <c r="A208" t="s">
        <v>843</v>
      </c>
      <c r="B208" t="s">
        <v>76</v>
      </c>
      <c r="C208" t="s">
        <v>138</v>
      </c>
      <c r="D208" t="s">
        <v>58</v>
      </c>
      <c r="E208">
        <v>2023</v>
      </c>
      <c r="F208" s="4">
        <v>1375295</v>
      </c>
      <c r="G208" s="5">
        <v>9.4000000000000004E-3</v>
      </c>
      <c r="H208" s="6">
        <v>12927.77</v>
      </c>
      <c r="I208" t="s">
        <v>844</v>
      </c>
      <c r="J208" t="s">
        <v>845</v>
      </c>
      <c r="K208" t="s">
        <v>608</v>
      </c>
      <c r="L208" s="4">
        <v>1542780</v>
      </c>
      <c r="M208" s="7">
        <v>45469</v>
      </c>
    </row>
    <row r="209" spans="1:13">
      <c r="A209" t="s">
        <v>846</v>
      </c>
      <c r="B209" t="s">
        <v>137</v>
      </c>
      <c r="C209" t="s">
        <v>138</v>
      </c>
      <c r="D209" t="s">
        <v>82</v>
      </c>
      <c r="E209">
        <v>2023</v>
      </c>
      <c r="F209" s="4">
        <v>9566638</v>
      </c>
      <c r="G209" s="5">
        <v>1.4999999999999999E-2</v>
      </c>
      <c r="H209" s="6">
        <v>143499.57</v>
      </c>
      <c r="I209" t="s">
        <v>847</v>
      </c>
      <c r="J209" t="s">
        <v>848</v>
      </c>
      <c r="K209" t="s">
        <v>849</v>
      </c>
      <c r="L209" s="4">
        <v>10140312</v>
      </c>
      <c r="M209" s="7">
        <v>45431</v>
      </c>
    </row>
    <row r="210" spans="1:13">
      <c r="A210" t="s">
        <v>850</v>
      </c>
      <c r="B210" t="s">
        <v>76</v>
      </c>
      <c r="C210" t="s">
        <v>77</v>
      </c>
      <c r="D210" t="s">
        <v>71</v>
      </c>
      <c r="E210">
        <v>2021</v>
      </c>
      <c r="F210" s="4">
        <v>7064134</v>
      </c>
      <c r="G210" s="5">
        <v>1.84E-2</v>
      </c>
      <c r="H210" s="6">
        <v>129980.07</v>
      </c>
      <c r="I210" t="s">
        <v>851</v>
      </c>
      <c r="J210" t="s">
        <v>852</v>
      </c>
      <c r="K210" t="s">
        <v>749</v>
      </c>
      <c r="L210" s="4">
        <v>8670221</v>
      </c>
      <c r="M210" s="7">
        <v>45444</v>
      </c>
    </row>
    <row r="211" spans="1:13">
      <c r="A211" t="s">
        <v>853</v>
      </c>
      <c r="B211" t="s">
        <v>56</v>
      </c>
      <c r="C211" t="s">
        <v>57</v>
      </c>
      <c r="D211" t="s">
        <v>97</v>
      </c>
      <c r="E211">
        <v>2022</v>
      </c>
      <c r="F211" s="4">
        <v>3482309</v>
      </c>
      <c r="G211" s="5">
        <v>2.0400000000000001E-2</v>
      </c>
      <c r="H211" s="6">
        <v>71039.100000000006</v>
      </c>
      <c r="I211" t="s">
        <v>84</v>
      </c>
      <c r="J211" t="s">
        <v>854</v>
      </c>
      <c r="K211" t="s">
        <v>855</v>
      </c>
      <c r="L211" s="4">
        <v>3686010</v>
      </c>
      <c r="M211" s="7">
        <v>44012</v>
      </c>
    </row>
    <row r="212" spans="1:13">
      <c r="A212" t="s">
        <v>856</v>
      </c>
      <c r="B212" t="s">
        <v>131</v>
      </c>
      <c r="C212" t="s">
        <v>132</v>
      </c>
      <c r="D212" t="s">
        <v>58</v>
      </c>
      <c r="E212">
        <v>2023</v>
      </c>
      <c r="F212" s="4">
        <v>2948675</v>
      </c>
      <c r="G212" s="5">
        <v>9.7999999999999997E-3</v>
      </c>
      <c r="H212" s="6">
        <v>28897.01</v>
      </c>
      <c r="I212" t="s">
        <v>857</v>
      </c>
      <c r="J212" t="s">
        <v>858</v>
      </c>
      <c r="K212" t="s">
        <v>859</v>
      </c>
      <c r="L212" s="4">
        <v>2772910</v>
      </c>
      <c r="M212" s="7">
        <v>44552</v>
      </c>
    </row>
    <row r="213" spans="1:13">
      <c r="A213" t="s">
        <v>860</v>
      </c>
      <c r="B213" t="s">
        <v>56</v>
      </c>
      <c r="C213" t="s">
        <v>102</v>
      </c>
      <c r="D213" t="s">
        <v>58</v>
      </c>
      <c r="E213">
        <v>2024</v>
      </c>
      <c r="F213" s="4">
        <v>2264871</v>
      </c>
      <c r="G213" s="5">
        <v>9.4000000000000004E-3</v>
      </c>
      <c r="H213" s="6">
        <v>21289.79</v>
      </c>
      <c r="I213" t="s">
        <v>861</v>
      </c>
      <c r="J213" t="s">
        <v>862</v>
      </c>
      <c r="K213" t="s">
        <v>707</v>
      </c>
      <c r="L213" s="4">
        <v>2580111</v>
      </c>
      <c r="M213" s="7">
        <v>44496</v>
      </c>
    </row>
    <row r="214" spans="1:13">
      <c r="A214" t="s">
        <v>863</v>
      </c>
      <c r="B214" t="s">
        <v>63</v>
      </c>
      <c r="C214" t="s">
        <v>64</v>
      </c>
      <c r="D214" t="s">
        <v>71</v>
      </c>
      <c r="E214">
        <v>2022</v>
      </c>
      <c r="F214" s="4">
        <v>7028134</v>
      </c>
      <c r="G214" s="5">
        <v>1.7500000000000002E-2</v>
      </c>
      <c r="H214" s="6">
        <v>130020.48</v>
      </c>
      <c r="I214" t="s">
        <v>864</v>
      </c>
      <c r="J214" t="s">
        <v>865</v>
      </c>
      <c r="K214" t="s">
        <v>866</v>
      </c>
      <c r="L214" s="4">
        <v>8029837</v>
      </c>
      <c r="M214" s="7">
        <v>43658</v>
      </c>
    </row>
    <row r="215" spans="1:13">
      <c r="A215" t="s">
        <v>867</v>
      </c>
      <c r="B215" t="s">
        <v>69</v>
      </c>
      <c r="C215" t="s">
        <v>70</v>
      </c>
      <c r="D215" t="s">
        <v>58</v>
      </c>
      <c r="E215">
        <v>2024</v>
      </c>
      <c r="F215" s="4">
        <v>3685127</v>
      </c>
      <c r="G215" s="5">
        <v>9.5999999999999992E-3</v>
      </c>
      <c r="H215" s="6">
        <v>35377.22</v>
      </c>
      <c r="I215" t="s">
        <v>868</v>
      </c>
      <c r="J215" t="s">
        <v>869</v>
      </c>
      <c r="K215" t="s">
        <v>870</v>
      </c>
      <c r="L215" s="4">
        <v>3895493</v>
      </c>
      <c r="M215" s="7">
        <v>45595</v>
      </c>
    </row>
    <row r="216" spans="1:13">
      <c r="A216" t="s">
        <v>871</v>
      </c>
      <c r="B216" t="s">
        <v>49</v>
      </c>
      <c r="C216" t="s">
        <v>50</v>
      </c>
      <c r="D216" t="s">
        <v>97</v>
      </c>
      <c r="E216">
        <v>2022</v>
      </c>
      <c r="F216" s="4">
        <v>3503817</v>
      </c>
      <c r="G216" s="5">
        <v>2.01E-2</v>
      </c>
      <c r="H216" s="6">
        <v>70426.720000000001</v>
      </c>
      <c r="I216" t="s">
        <v>872</v>
      </c>
      <c r="J216" t="s">
        <v>873</v>
      </c>
      <c r="K216" t="s">
        <v>874</v>
      </c>
      <c r="L216" s="4">
        <v>3341927</v>
      </c>
      <c r="M216" s="7">
        <v>44787</v>
      </c>
    </row>
    <row r="217" spans="1:13">
      <c r="A217" t="s">
        <v>875</v>
      </c>
      <c r="B217" t="s">
        <v>87</v>
      </c>
      <c r="C217" t="s">
        <v>88</v>
      </c>
      <c r="D217" t="s">
        <v>51</v>
      </c>
      <c r="E217">
        <v>2023</v>
      </c>
      <c r="F217" s="4">
        <v>764276</v>
      </c>
      <c r="G217" s="5">
        <v>1.2500000000000001E-2</v>
      </c>
      <c r="H217" s="6">
        <v>9553.4500000000007</v>
      </c>
      <c r="I217" t="s">
        <v>876</v>
      </c>
      <c r="J217" t="s">
        <v>877</v>
      </c>
      <c r="K217" t="s">
        <v>404</v>
      </c>
      <c r="L217" s="4">
        <v>833120</v>
      </c>
      <c r="M217" s="7">
        <v>44657</v>
      </c>
    </row>
    <row r="218" spans="1:13">
      <c r="A218" t="s">
        <v>878</v>
      </c>
      <c r="B218" t="s">
        <v>49</v>
      </c>
      <c r="C218" t="s">
        <v>64</v>
      </c>
      <c r="D218" t="s">
        <v>71</v>
      </c>
      <c r="E218">
        <v>2022</v>
      </c>
      <c r="F218" s="4">
        <v>8579819</v>
      </c>
      <c r="G218" s="5">
        <v>1.8100000000000002E-2</v>
      </c>
      <c r="H218" s="6">
        <v>155294.72</v>
      </c>
      <c r="I218" t="s">
        <v>879</v>
      </c>
      <c r="J218" t="s">
        <v>880</v>
      </c>
      <c r="K218" t="s">
        <v>881</v>
      </c>
      <c r="L218" s="4">
        <v>9771496</v>
      </c>
      <c r="M218" s="7">
        <v>44780</v>
      </c>
    </row>
    <row r="219" spans="1:13">
      <c r="A219" t="s">
        <v>882</v>
      </c>
      <c r="B219" t="s">
        <v>69</v>
      </c>
      <c r="C219" t="s">
        <v>70</v>
      </c>
      <c r="D219" t="s">
        <v>51</v>
      </c>
      <c r="E219">
        <v>2024</v>
      </c>
      <c r="F219" s="4">
        <v>608183</v>
      </c>
      <c r="G219" s="5">
        <v>1.26E-2</v>
      </c>
      <c r="H219" s="6">
        <v>7563.11</v>
      </c>
      <c r="I219" t="s">
        <v>883</v>
      </c>
      <c r="J219" t="s">
        <v>884</v>
      </c>
      <c r="K219" t="s">
        <v>95</v>
      </c>
      <c r="L219" s="4">
        <v>582997</v>
      </c>
      <c r="M219" s="7">
        <v>45298</v>
      </c>
    </row>
    <row r="220" spans="1:13">
      <c r="A220" t="s">
        <v>885</v>
      </c>
      <c r="B220" t="s">
        <v>56</v>
      </c>
      <c r="C220" t="s">
        <v>57</v>
      </c>
      <c r="D220" t="s">
        <v>51</v>
      </c>
      <c r="E220">
        <v>2021</v>
      </c>
      <c r="F220" s="4">
        <v>574639</v>
      </c>
      <c r="G220" s="5">
        <v>1.24E-2</v>
      </c>
      <c r="H220" s="6">
        <v>7125.52</v>
      </c>
      <c r="I220" t="s">
        <v>886</v>
      </c>
      <c r="J220" t="s">
        <v>887</v>
      </c>
      <c r="K220" t="s">
        <v>888</v>
      </c>
      <c r="L220" s="4">
        <v>534778</v>
      </c>
      <c r="M220" s="7">
        <v>43688</v>
      </c>
    </row>
    <row r="221" spans="1:13">
      <c r="A221" t="s">
        <v>889</v>
      </c>
      <c r="B221" t="s">
        <v>131</v>
      </c>
      <c r="C221" t="s">
        <v>132</v>
      </c>
      <c r="D221" t="s">
        <v>71</v>
      </c>
      <c r="E221">
        <v>2021</v>
      </c>
      <c r="F221" s="4">
        <v>5470086</v>
      </c>
      <c r="G221" s="5">
        <v>1.8800000000000001E-2</v>
      </c>
      <c r="H221" s="6">
        <v>102837.62</v>
      </c>
      <c r="I221" t="s">
        <v>890</v>
      </c>
      <c r="J221" t="s">
        <v>891</v>
      </c>
      <c r="K221" t="s">
        <v>892</v>
      </c>
      <c r="L221" s="4">
        <v>6351223</v>
      </c>
      <c r="M221" s="7">
        <v>43652</v>
      </c>
    </row>
    <row r="222" spans="1:13">
      <c r="A222" t="s">
        <v>893</v>
      </c>
      <c r="B222" t="s">
        <v>49</v>
      </c>
      <c r="C222" t="s">
        <v>50</v>
      </c>
      <c r="D222" t="s">
        <v>71</v>
      </c>
      <c r="E222">
        <v>2021</v>
      </c>
      <c r="F222" s="4">
        <v>3559408</v>
      </c>
      <c r="G222" s="5">
        <v>1.8100000000000002E-2</v>
      </c>
      <c r="H222" s="6">
        <v>64425.279999999999</v>
      </c>
      <c r="I222" t="s">
        <v>894</v>
      </c>
      <c r="J222" t="s">
        <v>895</v>
      </c>
      <c r="K222" t="s">
        <v>896</v>
      </c>
      <c r="L222" s="4">
        <v>3690563</v>
      </c>
      <c r="M222" s="7">
        <v>45701</v>
      </c>
    </row>
    <row r="223" spans="1:13">
      <c r="A223" t="s">
        <v>897</v>
      </c>
      <c r="B223" t="s">
        <v>137</v>
      </c>
      <c r="C223" t="s">
        <v>138</v>
      </c>
      <c r="D223" t="s">
        <v>535</v>
      </c>
      <c r="E223">
        <v>2023</v>
      </c>
      <c r="F223" s="4">
        <v>3244975</v>
      </c>
      <c r="G223" s="5">
        <v>2.07E-2</v>
      </c>
      <c r="H223" s="6">
        <v>67170.98</v>
      </c>
      <c r="I223" t="s">
        <v>898</v>
      </c>
      <c r="J223" t="s">
        <v>899</v>
      </c>
      <c r="K223" t="s">
        <v>568</v>
      </c>
      <c r="L223" s="4">
        <v>3159043</v>
      </c>
      <c r="M223" s="7">
        <v>45349</v>
      </c>
    </row>
    <row r="224" spans="1:13">
      <c r="A224" t="s">
        <v>900</v>
      </c>
      <c r="B224" t="s">
        <v>150</v>
      </c>
      <c r="C224" t="s">
        <v>151</v>
      </c>
      <c r="D224" t="s">
        <v>97</v>
      </c>
      <c r="E224">
        <v>2024</v>
      </c>
      <c r="F224" s="4">
        <v>4510158</v>
      </c>
      <c r="G224" s="5">
        <v>2.0299999999999999E-2</v>
      </c>
      <c r="H224" s="6">
        <v>91556.21</v>
      </c>
      <c r="I224" t="s">
        <v>901</v>
      </c>
      <c r="J224" t="s">
        <v>902</v>
      </c>
      <c r="K224" t="s">
        <v>568</v>
      </c>
      <c r="L224" s="4">
        <v>4214160</v>
      </c>
      <c r="M224" s="7">
        <v>45683</v>
      </c>
    </row>
    <row r="225" spans="1:13">
      <c r="A225" t="s">
        <v>903</v>
      </c>
      <c r="B225" t="s">
        <v>87</v>
      </c>
      <c r="C225" t="s">
        <v>88</v>
      </c>
      <c r="D225" t="s">
        <v>58</v>
      </c>
      <c r="E225">
        <v>2023</v>
      </c>
      <c r="F225" s="4">
        <v>1360107</v>
      </c>
      <c r="G225" s="5">
        <v>9.4999999999999998E-3</v>
      </c>
      <c r="H225" s="6">
        <v>12921.02</v>
      </c>
      <c r="I225" t="s">
        <v>904</v>
      </c>
      <c r="J225" t="s">
        <v>905</v>
      </c>
      <c r="K225" t="s">
        <v>906</v>
      </c>
      <c r="L225" s="4">
        <v>1502183</v>
      </c>
      <c r="M225" s="7">
        <v>44989</v>
      </c>
    </row>
    <row r="226" spans="1:13">
      <c r="A226" t="s">
        <v>907</v>
      </c>
      <c r="B226" t="s">
        <v>87</v>
      </c>
      <c r="C226" t="s">
        <v>88</v>
      </c>
      <c r="D226" t="s">
        <v>71</v>
      </c>
      <c r="E226">
        <v>2023</v>
      </c>
      <c r="F226" s="4">
        <v>9963499</v>
      </c>
      <c r="G226" s="5">
        <v>1.8499999999999999E-2</v>
      </c>
      <c r="H226" s="6">
        <v>184324.73</v>
      </c>
      <c r="I226" t="s">
        <v>908</v>
      </c>
      <c r="J226" t="s">
        <v>909</v>
      </c>
      <c r="K226" t="s">
        <v>910</v>
      </c>
      <c r="L226" s="4">
        <v>10032398</v>
      </c>
      <c r="M226" s="7">
        <v>44960</v>
      </c>
    </row>
    <row r="227" spans="1:13">
      <c r="A227" t="s">
        <v>911</v>
      </c>
      <c r="B227" t="s">
        <v>49</v>
      </c>
      <c r="C227" t="s">
        <v>50</v>
      </c>
      <c r="D227" t="s">
        <v>97</v>
      </c>
      <c r="E227">
        <v>2021</v>
      </c>
      <c r="F227" s="4">
        <v>42081010</v>
      </c>
      <c r="G227" s="5">
        <v>2.01E-2</v>
      </c>
      <c r="H227" s="6">
        <v>845828.3</v>
      </c>
      <c r="I227" t="s">
        <v>912</v>
      </c>
      <c r="J227" t="s">
        <v>913</v>
      </c>
      <c r="K227" t="s">
        <v>914</v>
      </c>
      <c r="L227" s="4">
        <v>3716132</v>
      </c>
      <c r="M227" s="7">
        <v>44533</v>
      </c>
    </row>
    <row r="228" spans="1:13">
      <c r="A228" t="s">
        <v>915</v>
      </c>
      <c r="B228" t="s">
        <v>56</v>
      </c>
      <c r="C228" t="s">
        <v>57</v>
      </c>
      <c r="D228" t="s">
        <v>82</v>
      </c>
      <c r="E228">
        <v>2024</v>
      </c>
      <c r="F228" s="4">
        <v>8910117</v>
      </c>
      <c r="G228" s="5">
        <v>1.47E-2</v>
      </c>
      <c r="H228" s="6">
        <v>130978.72</v>
      </c>
      <c r="I228" t="s">
        <v>916</v>
      </c>
      <c r="J228" t="s">
        <v>917</v>
      </c>
      <c r="K228" t="s">
        <v>918</v>
      </c>
      <c r="L228" s="4">
        <v>10085695</v>
      </c>
      <c r="M228" s="7">
        <v>45454</v>
      </c>
    </row>
    <row r="229" spans="1:13">
      <c r="A229" t="s">
        <v>919</v>
      </c>
      <c r="B229" t="s">
        <v>131</v>
      </c>
      <c r="C229" t="s">
        <v>132</v>
      </c>
      <c r="D229" t="s">
        <v>82</v>
      </c>
      <c r="E229">
        <v>2022</v>
      </c>
      <c r="F229" s="4">
        <v>6501768</v>
      </c>
      <c r="G229" s="5">
        <v>1.5100000000000001E-2</v>
      </c>
      <c r="H229" s="6">
        <v>98176.7</v>
      </c>
      <c r="I229" t="s">
        <v>920</v>
      </c>
      <c r="J229" t="s">
        <v>921</v>
      </c>
      <c r="K229" t="s">
        <v>248</v>
      </c>
      <c r="L229" s="4">
        <v>6384128</v>
      </c>
      <c r="M229" s="7">
        <v>44312</v>
      </c>
    </row>
    <row r="230" spans="1:13">
      <c r="A230" t="s">
        <v>922</v>
      </c>
      <c r="B230" t="s">
        <v>56</v>
      </c>
      <c r="C230" t="s">
        <v>57</v>
      </c>
      <c r="D230" t="s">
        <v>71</v>
      </c>
      <c r="E230">
        <v>2024</v>
      </c>
      <c r="F230" s="4">
        <v>4706011</v>
      </c>
      <c r="G230" s="5">
        <v>1.84E-2</v>
      </c>
      <c r="H230" s="6">
        <v>86590.6</v>
      </c>
      <c r="I230" t="s">
        <v>923</v>
      </c>
      <c r="J230" t="s">
        <v>924</v>
      </c>
      <c r="K230" t="s">
        <v>209</v>
      </c>
      <c r="L230" s="4">
        <v>5203378</v>
      </c>
      <c r="M230" s="7">
        <v>44356</v>
      </c>
    </row>
    <row r="231" spans="1:13">
      <c r="A231" t="s">
        <v>925</v>
      </c>
      <c r="B231" t="s">
        <v>56</v>
      </c>
      <c r="C231" t="s">
        <v>57</v>
      </c>
      <c r="D231" t="s">
        <v>71</v>
      </c>
      <c r="E231">
        <v>2024</v>
      </c>
      <c r="F231" s="4">
        <v>10344303</v>
      </c>
      <c r="G231" s="5">
        <v>1.84E-2</v>
      </c>
      <c r="H231" s="6">
        <v>190335.18</v>
      </c>
      <c r="I231" t="s">
        <v>926</v>
      </c>
      <c r="J231" t="s">
        <v>927</v>
      </c>
      <c r="K231" t="s">
        <v>928</v>
      </c>
      <c r="L231" s="4">
        <v>10142556</v>
      </c>
      <c r="M231" s="7">
        <v>45250</v>
      </c>
    </row>
    <row r="232" spans="1:13">
      <c r="A232" t="s">
        <v>929</v>
      </c>
      <c r="B232" t="s">
        <v>137</v>
      </c>
      <c r="C232" t="s">
        <v>138</v>
      </c>
      <c r="D232" t="s">
        <v>97</v>
      </c>
      <c r="E232">
        <v>2022</v>
      </c>
      <c r="F232" s="4">
        <v>1610512</v>
      </c>
      <c r="G232" s="5">
        <v>1.8700000000000001E-2</v>
      </c>
      <c r="H232" s="6">
        <v>33337.599999999999</v>
      </c>
      <c r="I232" t="s">
        <v>930</v>
      </c>
      <c r="J232" t="s">
        <v>931</v>
      </c>
      <c r="K232" t="s">
        <v>158</v>
      </c>
      <c r="L232" s="4">
        <v>1586813</v>
      </c>
      <c r="M232" s="7">
        <v>43989</v>
      </c>
    </row>
    <row r="233" spans="1:13">
      <c r="A233" t="s">
        <v>932</v>
      </c>
      <c r="B233" t="s">
        <v>87</v>
      </c>
      <c r="C233" t="s">
        <v>88</v>
      </c>
      <c r="D233" t="s">
        <v>82</v>
      </c>
      <c r="E233">
        <v>2022</v>
      </c>
      <c r="F233" s="4">
        <v>3556141</v>
      </c>
      <c r="G233" s="5">
        <v>1.4800000000000001E-2</v>
      </c>
      <c r="H233" s="6">
        <v>52630.89</v>
      </c>
      <c r="I233" t="s">
        <v>933</v>
      </c>
      <c r="J233" t="s">
        <v>934</v>
      </c>
      <c r="K233" t="s">
        <v>350</v>
      </c>
      <c r="L233" s="4">
        <v>3955439</v>
      </c>
      <c r="M233" s="7">
        <v>45396</v>
      </c>
    </row>
    <row r="234" spans="1:13">
      <c r="A234" t="s">
        <v>935</v>
      </c>
      <c r="B234" t="s">
        <v>101</v>
      </c>
      <c r="C234" t="s">
        <v>102</v>
      </c>
      <c r="D234" t="s">
        <v>97</v>
      </c>
      <c r="E234">
        <v>2022</v>
      </c>
      <c r="F234" s="4">
        <v>4002539</v>
      </c>
      <c r="G234" s="5">
        <v>2.0899999999999998E-2</v>
      </c>
      <c r="H234" s="6">
        <v>83653.070000000007</v>
      </c>
      <c r="I234" t="s">
        <v>936</v>
      </c>
      <c r="J234" t="s">
        <v>937</v>
      </c>
      <c r="K234" t="s">
        <v>938</v>
      </c>
      <c r="L234" s="4">
        <v>4142274</v>
      </c>
      <c r="M234" s="7">
        <v>43910</v>
      </c>
    </row>
    <row r="235" spans="1:13">
      <c r="A235" t="s">
        <v>939</v>
      </c>
      <c r="B235" t="s">
        <v>63</v>
      </c>
      <c r="C235" t="s">
        <v>64</v>
      </c>
      <c r="D235" t="s">
        <v>97</v>
      </c>
      <c r="E235">
        <v>2024</v>
      </c>
      <c r="F235" s="4">
        <v>3980003</v>
      </c>
      <c r="G235" s="5">
        <v>1.95E-2</v>
      </c>
      <c r="H235" s="6">
        <v>81590.06</v>
      </c>
      <c r="I235" t="s">
        <v>940</v>
      </c>
      <c r="J235" t="s">
        <v>941</v>
      </c>
      <c r="K235" t="s">
        <v>942</v>
      </c>
      <c r="L235" s="4">
        <v>3583675</v>
      </c>
      <c r="M235" s="7">
        <v>45586</v>
      </c>
    </row>
    <row r="236" spans="1:13">
      <c r="A236" t="s">
        <v>943</v>
      </c>
      <c r="B236" t="s">
        <v>69</v>
      </c>
      <c r="C236" t="s">
        <v>70</v>
      </c>
      <c r="D236" t="s">
        <v>82</v>
      </c>
      <c r="E236">
        <v>2024</v>
      </c>
      <c r="F236" s="4">
        <v>5739654</v>
      </c>
      <c r="G236" s="5">
        <v>1.49E-2</v>
      </c>
      <c r="H236" s="6">
        <v>85820.84</v>
      </c>
      <c r="I236" t="s">
        <v>944</v>
      </c>
      <c r="J236" t="s">
        <v>945</v>
      </c>
      <c r="K236" t="s">
        <v>946</v>
      </c>
      <c r="L236" s="4">
        <v>6891423</v>
      </c>
      <c r="M236" s="7">
        <v>44777</v>
      </c>
    </row>
    <row r="237" spans="1:13">
      <c r="A237" t="s">
        <v>947</v>
      </c>
      <c r="B237" t="s">
        <v>87</v>
      </c>
      <c r="C237" t="s">
        <v>88</v>
      </c>
      <c r="D237" t="s">
        <v>82</v>
      </c>
      <c r="E237">
        <v>2024</v>
      </c>
      <c r="F237" s="4">
        <v>4688665</v>
      </c>
      <c r="G237" s="5">
        <v>1.4800000000000001E-2</v>
      </c>
      <c r="H237" s="6">
        <v>69392.240000000005</v>
      </c>
      <c r="I237" t="s">
        <v>948</v>
      </c>
      <c r="J237" t="s">
        <v>949</v>
      </c>
      <c r="K237" t="s">
        <v>817</v>
      </c>
      <c r="L237" s="4">
        <v>5289056</v>
      </c>
      <c r="M237" s="7">
        <v>44716</v>
      </c>
    </row>
    <row r="238" spans="1:13">
      <c r="A238" t="s">
        <v>950</v>
      </c>
      <c r="B238" t="s">
        <v>137</v>
      </c>
      <c r="C238" t="s">
        <v>138</v>
      </c>
      <c r="D238" t="s">
        <v>577</v>
      </c>
      <c r="E238">
        <v>2024</v>
      </c>
      <c r="F238" s="4">
        <v>7805363</v>
      </c>
      <c r="G238" s="5">
        <v>1.4999999999999999E-2</v>
      </c>
      <c r="H238" s="6">
        <v>117080.44</v>
      </c>
      <c r="I238" t="s">
        <v>951</v>
      </c>
      <c r="J238" t="s">
        <v>952</v>
      </c>
      <c r="K238" t="s">
        <v>953</v>
      </c>
      <c r="L238" s="4">
        <v>7965566</v>
      </c>
      <c r="M238" s="7">
        <v>45641</v>
      </c>
    </row>
    <row r="239" spans="1:13">
      <c r="A239" t="s">
        <v>954</v>
      </c>
      <c r="B239" t="s">
        <v>69</v>
      </c>
      <c r="C239" t="s">
        <v>70</v>
      </c>
      <c r="D239" t="s">
        <v>97</v>
      </c>
      <c r="E239">
        <v>2021</v>
      </c>
      <c r="F239" s="4">
        <v>3564551</v>
      </c>
      <c r="G239" s="5">
        <v>2.06E-2</v>
      </c>
      <c r="H239" s="6">
        <v>73179.75</v>
      </c>
      <c r="I239" t="s">
        <v>955</v>
      </c>
      <c r="J239" t="s">
        <v>956</v>
      </c>
      <c r="K239" t="s">
        <v>957</v>
      </c>
      <c r="L239" s="4">
        <v>3796546</v>
      </c>
      <c r="M239" s="7">
        <v>45249</v>
      </c>
    </row>
    <row r="240" spans="1:13">
      <c r="A240" t="s">
        <v>958</v>
      </c>
      <c r="B240" t="s">
        <v>49</v>
      </c>
      <c r="C240" t="s">
        <v>50</v>
      </c>
      <c r="D240" t="s">
        <v>51</v>
      </c>
      <c r="E240">
        <v>2023</v>
      </c>
      <c r="F240" s="4">
        <v>582994</v>
      </c>
      <c r="G240" s="5">
        <v>1.21E-2</v>
      </c>
      <c r="H240" s="6">
        <v>7134.23</v>
      </c>
      <c r="I240" t="s">
        <v>959</v>
      </c>
      <c r="J240" t="s">
        <v>960</v>
      </c>
      <c r="K240" t="s">
        <v>961</v>
      </c>
      <c r="L240" s="4">
        <v>565853</v>
      </c>
      <c r="M240" s="7">
        <v>45176</v>
      </c>
    </row>
    <row r="241" spans="1:13">
      <c r="A241" t="s">
        <v>962</v>
      </c>
      <c r="B241" t="s">
        <v>56</v>
      </c>
      <c r="C241" t="s">
        <v>57</v>
      </c>
      <c r="D241" t="s">
        <v>71</v>
      </c>
      <c r="E241">
        <v>2022</v>
      </c>
      <c r="F241" s="4">
        <v>1598089</v>
      </c>
      <c r="G241" s="5">
        <v>1.84E-2</v>
      </c>
      <c r="H241" s="6">
        <v>29404.84</v>
      </c>
      <c r="I241" t="s">
        <v>963</v>
      </c>
      <c r="J241" t="s">
        <v>964</v>
      </c>
      <c r="K241" t="s">
        <v>965</v>
      </c>
      <c r="L241" s="4">
        <v>1635795</v>
      </c>
      <c r="M241" s="7">
        <v>45084</v>
      </c>
    </row>
    <row r="242" spans="1:13">
      <c r="A242" t="s">
        <v>966</v>
      </c>
      <c r="B242" t="s">
        <v>69</v>
      </c>
      <c r="C242" t="s">
        <v>70</v>
      </c>
      <c r="D242" t="s">
        <v>82</v>
      </c>
      <c r="E242">
        <v>2022</v>
      </c>
      <c r="F242" s="4">
        <v>7269944</v>
      </c>
      <c r="G242" s="5">
        <v>1.49E-2</v>
      </c>
      <c r="H242" s="6">
        <v>108322.17</v>
      </c>
      <c r="I242" t="s">
        <v>967</v>
      </c>
      <c r="J242" t="s">
        <v>968</v>
      </c>
      <c r="K242" t="s">
        <v>969</v>
      </c>
      <c r="L242" s="4">
        <v>8908588</v>
      </c>
      <c r="M242" s="7">
        <v>43485</v>
      </c>
    </row>
    <row r="243" spans="1:13">
      <c r="A243" t="s">
        <v>970</v>
      </c>
      <c r="B243" t="s">
        <v>137</v>
      </c>
      <c r="C243" t="s">
        <v>138</v>
      </c>
      <c r="D243" t="s">
        <v>97</v>
      </c>
      <c r="E243">
        <v>2024</v>
      </c>
      <c r="F243" s="4">
        <v>2592174</v>
      </c>
      <c r="G243" s="5">
        <v>2.07E-2</v>
      </c>
      <c r="H243" s="6">
        <v>53658</v>
      </c>
      <c r="I243" t="s">
        <v>971</v>
      </c>
      <c r="J243" t="s">
        <v>972</v>
      </c>
      <c r="K243" t="s">
        <v>973</v>
      </c>
      <c r="L243" s="4">
        <v>3031518</v>
      </c>
      <c r="M243" s="7">
        <v>44892</v>
      </c>
    </row>
    <row r="244" spans="1:13">
      <c r="A244" t="s">
        <v>974</v>
      </c>
      <c r="B244" t="s">
        <v>101</v>
      </c>
      <c r="C244" t="s">
        <v>102</v>
      </c>
      <c r="D244" t="s">
        <v>58</v>
      </c>
      <c r="E244">
        <v>2021</v>
      </c>
      <c r="F244" s="4">
        <v>1681400</v>
      </c>
      <c r="G244" s="5">
        <v>9.9000000000000008E-3</v>
      </c>
      <c r="H244" s="6">
        <v>16645.86</v>
      </c>
      <c r="I244" t="s">
        <v>975</v>
      </c>
      <c r="J244" t="s">
        <v>976</v>
      </c>
      <c r="K244" t="s">
        <v>423</v>
      </c>
      <c r="L244" s="4">
        <v>1682327</v>
      </c>
      <c r="M244" s="7">
        <v>45100</v>
      </c>
    </row>
    <row r="245" spans="1:13">
      <c r="A245" t="s">
        <v>977</v>
      </c>
      <c r="B245" t="s">
        <v>150</v>
      </c>
      <c r="C245" t="s">
        <v>151</v>
      </c>
      <c r="D245" t="s">
        <v>51</v>
      </c>
      <c r="E245">
        <v>2022</v>
      </c>
      <c r="F245" s="4">
        <v>8588130</v>
      </c>
      <c r="G245" s="5">
        <v>1.23E-2</v>
      </c>
      <c r="H245" s="6">
        <v>9277.14</v>
      </c>
      <c r="I245" t="s">
        <v>978</v>
      </c>
      <c r="J245" t="s">
        <v>979</v>
      </c>
      <c r="K245" t="s">
        <v>392</v>
      </c>
      <c r="L245" s="4">
        <v>744731</v>
      </c>
      <c r="M245" s="7">
        <v>44924</v>
      </c>
    </row>
    <row r="246" spans="1:13">
      <c r="A246" t="s">
        <v>980</v>
      </c>
      <c r="B246" t="s">
        <v>131</v>
      </c>
      <c r="C246" t="s">
        <v>132</v>
      </c>
      <c r="D246" t="s">
        <v>51</v>
      </c>
      <c r="E246">
        <v>2021</v>
      </c>
      <c r="F246" s="4">
        <v>1208795</v>
      </c>
      <c r="G246" s="5">
        <v>1.2800000000000001E-2</v>
      </c>
      <c r="H246" s="6">
        <v>15472.58</v>
      </c>
      <c r="I246" t="s">
        <v>981</v>
      </c>
      <c r="J246" t="s">
        <v>982</v>
      </c>
      <c r="K246" t="s">
        <v>318</v>
      </c>
      <c r="L246" s="4">
        <v>1256250</v>
      </c>
      <c r="M246" s="7">
        <v>43991</v>
      </c>
    </row>
    <row r="247" spans="1:13">
      <c r="A247" t="s">
        <v>983</v>
      </c>
      <c r="B247" t="s">
        <v>63</v>
      </c>
      <c r="C247" t="s">
        <v>64</v>
      </c>
      <c r="D247" t="s">
        <v>82</v>
      </c>
      <c r="E247">
        <v>2024</v>
      </c>
      <c r="F247" s="4">
        <v>6839988</v>
      </c>
      <c r="G247" s="5">
        <v>1.4800000000000001E-2</v>
      </c>
      <c r="H247" s="6">
        <v>101231.82</v>
      </c>
      <c r="I247" t="s">
        <v>984</v>
      </c>
      <c r="J247" t="s">
        <v>985</v>
      </c>
      <c r="K247" t="s">
        <v>986</v>
      </c>
      <c r="L247" s="4">
        <v>6660530</v>
      </c>
      <c r="M247" s="7">
        <v>45386</v>
      </c>
    </row>
    <row r="248" spans="1:13">
      <c r="A248" t="s">
        <v>987</v>
      </c>
      <c r="B248" t="s">
        <v>49</v>
      </c>
      <c r="C248" t="s">
        <v>70</v>
      </c>
      <c r="D248" t="s">
        <v>71</v>
      </c>
      <c r="E248">
        <v>2023</v>
      </c>
      <c r="F248" s="4">
        <v>5767336</v>
      </c>
      <c r="G248" s="5">
        <v>1.8100000000000002E-2</v>
      </c>
      <c r="H248" s="6">
        <v>104388.78</v>
      </c>
      <c r="I248" t="s">
        <v>988</v>
      </c>
      <c r="J248" t="s">
        <v>989</v>
      </c>
      <c r="K248" t="s">
        <v>990</v>
      </c>
      <c r="L248" s="4">
        <v>6915117</v>
      </c>
      <c r="M248" s="7">
        <v>44403</v>
      </c>
    </row>
    <row r="249" spans="1:13">
      <c r="A249" t="s">
        <v>991</v>
      </c>
      <c r="B249" t="s">
        <v>101</v>
      </c>
      <c r="C249" t="s">
        <v>102</v>
      </c>
      <c r="D249" t="s">
        <v>97</v>
      </c>
      <c r="E249">
        <v>2022</v>
      </c>
      <c r="F249" s="4">
        <v>5301779</v>
      </c>
      <c r="G249" s="5">
        <v>2.0899999999999998E-2</v>
      </c>
      <c r="H249" s="6">
        <v>110807.18</v>
      </c>
      <c r="I249" t="s">
        <v>992</v>
      </c>
      <c r="J249" t="s">
        <v>993</v>
      </c>
      <c r="K249" t="s">
        <v>310</v>
      </c>
      <c r="L249" s="4">
        <v>5553784</v>
      </c>
      <c r="M249" s="7">
        <v>44016</v>
      </c>
    </row>
    <row r="250" spans="1:13">
      <c r="A250" t="s">
        <v>994</v>
      </c>
      <c r="B250" t="s">
        <v>56</v>
      </c>
      <c r="C250" t="s">
        <v>57</v>
      </c>
      <c r="D250" t="s">
        <v>82</v>
      </c>
      <c r="E250">
        <v>2023</v>
      </c>
      <c r="F250" s="4">
        <v>10841116</v>
      </c>
      <c r="G250" s="5">
        <v>1.47E-2</v>
      </c>
      <c r="H250" s="6">
        <v>159364.41</v>
      </c>
      <c r="I250" t="s">
        <v>995</v>
      </c>
      <c r="J250" t="s">
        <v>996</v>
      </c>
      <c r="K250" t="s">
        <v>855</v>
      </c>
      <c r="L250" s="4">
        <v>11126635</v>
      </c>
      <c r="M250" s="7">
        <v>44978</v>
      </c>
    </row>
    <row r="251" spans="1:13">
      <c r="A251" t="s">
        <v>997</v>
      </c>
      <c r="B251" t="s">
        <v>56</v>
      </c>
      <c r="C251" t="s">
        <v>57</v>
      </c>
      <c r="D251" t="s">
        <v>71</v>
      </c>
      <c r="E251">
        <v>2023</v>
      </c>
      <c r="F251" s="4">
        <v>1366759</v>
      </c>
      <c r="G251" s="5">
        <v>1.84E-2</v>
      </c>
      <c r="H251" s="6">
        <v>25148.37</v>
      </c>
      <c r="I251" t="s">
        <v>998</v>
      </c>
      <c r="J251" t="s">
        <v>999</v>
      </c>
      <c r="K251" t="s">
        <v>1000</v>
      </c>
      <c r="L251" s="4">
        <v>1267591</v>
      </c>
      <c r="M251" s="7">
        <v>45087</v>
      </c>
    </row>
    <row r="252" spans="1:13">
      <c r="A252" t="s">
        <v>1001</v>
      </c>
      <c r="B252" t="s">
        <v>137</v>
      </c>
      <c r="C252" t="s">
        <v>138</v>
      </c>
      <c r="D252" t="s">
        <v>58</v>
      </c>
      <c r="E252">
        <v>2022</v>
      </c>
      <c r="F252" s="4">
        <v>3078592</v>
      </c>
      <c r="G252" s="5">
        <v>9.7000000000000003E-3</v>
      </c>
      <c r="H252" s="6">
        <v>29862.34</v>
      </c>
      <c r="I252" t="s">
        <v>1002</v>
      </c>
      <c r="J252" t="s">
        <v>1003</v>
      </c>
      <c r="K252" t="s">
        <v>906</v>
      </c>
      <c r="L252" s="4">
        <v>3058936</v>
      </c>
      <c r="M252" s="7">
        <v>45085</v>
      </c>
    </row>
    <row r="253" spans="1:13">
      <c r="A253" t="s">
        <v>1004</v>
      </c>
      <c r="B253" t="s">
        <v>137</v>
      </c>
      <c r="C253" t="s">
        <v>138</v>
      </c>
      <c r="D253" t="s">
        <v>58</v>
      </c>
      <c r="E253">
        <v>2023</v>
      </c>
      <c r="F253" s="4">
        <v>2533716</v>
      </c>
      <c r="G253" s="5">
        <v>9.7000000000000003E-3</v>
      </c>
      <c r="H253" s="6">
        <v>24577.05</v>
      </c>
      <c r="I253" t="s">
        <v>1005</v>
      </c>
      <c r="J253" t="s">
        <v>1006</v>
      </c>
      <c r="K253" t="s">
        <v>664</v>
      </c>
      <c r="L253" s="4">
        <v>3059568</v>
      </c>
      <c r="M253" s="7">
        <v>44954</v>
      </c>
    </row>
    <row r="254" spans="1:13">
      <c r="A254" t="s">
        <v>1007</v>
      </c>
      <c r="B254" t="s">
        <v>63</v>
      </c>
      <c r="C254" t="s">
        <v>64</v>
      </c>
      <c r="D254" t="s">
        <v>644</v>
      </c>
      <c r="E254">
        <v>2024</v>
      </c>
      <c r="F254" s="4">
        <v>788826</v>
      </c>
      <c r="G254" s="5">
        <v>1.2500000000000001E-2</v>
      </c>
      <c r="H254" s="6">
        <v>9860.33</v>
      </c>
      <c r="I254" t="s">
        <v>1008</v>
      </c>
      <c r="J254" t="s">
        <v>1009</v>
      </c>
      <c r="K254" t="s">
        <v>1010</v>
      </c>
      <c r="L254" s="4">
        <v>941449</v>
      </c>
      <c r="M254" s="7">
        <v>44255</v>
      </c>
    </row>
    <row r="255" spans="1:13">
      <c r="A255" t="s">
        <v>1011</v>
      </c>
      <c r="B255" t="s">
        <v>63</v>
      </c>
      <c r="C255" t="s">
        <v>64</v>
      </c>
      <c r="D255" t="s">
        <v>71</v>
      </c>
      <c r="E255">
        <v>2023</v>
      </c>
      <c r="F255" s="4">
        <v>8309563</v>
      </c>
      <c r="G255" s="5">
        <v>1.8499999999999999E-2</v>
      </c>
      <c r="H255" s="6">
        <v>153726.92000000001</v>
      </c>
      <c r="I255" t="s">
        <v>1012</v>
      </c>
      <c r="J255" t="s">
        <v>1013</v>
      </c>
      <c r="K255" t="s">
        <v>129</v>
      </c>
      <c r="L255" s="4">
        <v>10122071</v>
      </c>
      <c r="M255" s="7">
        <v>44817</v>
      </c>
    </row>
    <row r="256" spans="1:13">
      <c r="A256" t="s">
        <v>1014</v>
      </c>
      <c r="B256" t="s">
        <v>56</v>
      </c>
      <c r="C256" t="s">
        <v>57</v>
      </c>
      <c r="D256" t="s">
        <v>97</v>
      </c>
      <c r="E256">
        <v>2021</v>
      </c>
      <c r="F256" s="4">
        <v>2376818</v>
      </c>
      <c r="G256" s="5">
        <v>2.0400000000000001E-2</v>
      </c>
      <c r="H256" s="6">
        <v>48487.09</v>
      </c>
      <c r="I256" t="s">
        <v>1015</v>
      </c>
      <c r="J256" t="s">
        <v>1016</v>
      </c>
      <c r="K256" t="s">
        <v>828</v>
      </c>
      <c r="L256" s="4">
        <v>2536002</v>
      </c>
      <c r="M256" s="7">
        <v>43503</v>
      </c>
    </row>
    <row r="257" spans="1:13">
      <c r="A257" t="s">
        <v>530</v>
      </c>
      <c r="B257" t="s">
        <v>69</v>
      </c>
      <c r="C257" t="s">
        <v>70</v>
      </c>
      <c r="D257" t="s">
        <v>71</v>
      </c>
      <c r="E257">
        <v>2022</v>
      </c>
      <c r="F257" s="4">
        <v>7484660</v>
      </c>
      <c r="G257" s="5">
        <v>1.8599999999999998E-2</v>
      </c>
      <c r="H257" s="6">
        <v>139214.68</v>
      </c>
      <c r="I257" t="s">
        <v>1017</v>
      </c>
      <c r="J257" t="s">
        <v>1018</v>
      </c>
      <c r="K257" t="s">
        <v>1019</v>
      </c>
      <c r="L257" s="4">
        <v>8374310</v>
      </c>
      <c r="M257" s="7">
        <v>45582</v>
      </c>
    </row>
    <row r="258" spans="1:13">
      <c r="A258" t="s">
        <v>1020</v>
      </c>
      <c r="B258" t="s">
        <v>87</v>
      </c>
      <c r="C258" t="s">
        <v>88</v>
      </c>
      <c r="D258" t="s">
        <v>71</v>
      </c>
      <c r="E258">
        <v>2023</v>
      </c>
      <c r="F258" s="4">
        <v>6061415</v>
      </c>
      <c r="G258" s="5">
        <v>1.8499999999999999E-2</v>
      </c>
      <c r="H258" s="6">
        <v>112136.18</v>
      </c>
      <c r="I258" t="s">
        <v>1021</v>
      </c>
      <c r="J258" t="s">
        <v>1022</v>
      </c>
      <c r="K258" t="s">
        <v>1023</v>
      </c>
      <c r="L258" s="4">
        <v>6135518</v>
      </c>
      <c r="M258" s="7">
        <v>44142</v>
      </c>
    </row>
    <row r="259" spans="1:13">
      <c r="A259" t="s">
        <v>1024</v>
      </c>
      <c r="B259" t="s">
        <v>63</v>
      </c>
      <c r="C259" t="s">
        <v>64</v>
      </c>
      <c r="D259" t="s">
        <v>82</v>
      </c>
      <c r="E259">
        <v>2021</v>
      </c>
      <c r="F259" s="4">
        <v>4055372</v>
      </c>
      <c r="G259" s="5">
        <v>1.4800000000000001E-2</v>
      </c>
      <c r="H259" s="6">
        <v>60019.51</v>
      </c>
      <c r="I259" t="s">
        <v>1025</v>
      </c>
      <c r="J259" t="s">
        <v>1026</v>
      </c>
      <c r="K259" t="s">
        <v>1027</v>
      </c>
      <c r="L259" s="4">
        <v>4765078</v>
      </c>
      <c r="M259" s="7">
        <v>45507</v>
      </c>
    </row>
    <row r="260" spans="1:13">
      <c r="A260" t="s">
        <v>1028</v>
      </c>
      <c r="B260" t="s">
        <v>150</v>
      </c>
      <c r="C260" t="s">
        <v>151</v>
      </c>
      <c r="D260" t="s">
        <v>58</v>
      </c>
      <c r="E260">
        <v>2021</v>
      </c>
      <c r="F260" s="4">
        <v>1295112</v>
      </c>
      <c r="G260" s="5">
        <v>1.0800000000000001E-2</v>
      </c>
      <c r="H260" s="6">
        <v>12044.54</v>
      </c>
      <c r="I260" t="s">
        <v>1029</v>
      </c>
      <c r="J260" t="s">
        <v>1030</v>
      </c>
      <c r="K260" t="s">
        <v>1031</v>
      </c>
      <c r="L260" s="4">
        <v>1499956</v>
      </c>
      <c r="M260" s="7">
        <v>43603</v>
      </c>
    </row>
    <row r="261" spans="1:13">
      <c r="A261" t="s">
        <v>1032</v>
      </c>
      <c r="B261" t="s">
        <v>76</v>
      </c>
      <c r="C261" t="s">
        <v>77</v>
      </c>
      <c r="D261" t="s">
        <v>58</v>
      </c>
      <c r="E261">
        <v>2021</v>
      </c>
      <c r="F261" s="4">
        <v>1790053</v>
      </c>
      <c r="G261" s="5">
        <v>9.4000000000000004E-3</v>
      </c>
      <c r="H261" s="6">
        <v>16826.5</v>
      </c>
      <c r="I261" t="s">
        <v>1033</v>
      </c>
      <c r="J261" t="s">
        <v>1034</v>
      </c>
      <c r="K261" t="s">
        <v>272</v>
      </c>
      <c r="L261" s="4">
        <v>1836862</v>
      </c>
      <c r="M261" s="7">
        <v>43679</v>
      </c>
    </row>
    <row r="262" spans="1:13">
      <c r="A262" t="s">
        <v>1035</v>
      </c>
      <c r="B262" t="s">
        <v>76</v>
      </c>
      <c r="C262" t="s">
        <v>77</v>
      </c>
      <c r="D262" t="s">
        <v>51</v>
      </c>
      <c r="E262">
        <v>2022</v>
      </c>
      <c r="F262" s="4">
        <v>875473</v>
      </c>
      <c r="G262" s="5">
        <v>1.24E-2</v>
      </c>
      <c r="H262" s="6">
        <v>10855.87</v>
      </c>
      <c r="I262" t="s">
        <v>1036</v>
      </c>
      <c r="J262" t="s">
        <v>1037</v>
      </c>
      <c r="K262" t="s">
        <v>703</v>
      </c>
      <c r="L262" s="4">
        <v>836247</v>
      </c>
      <c r="M262" s="7">
        <v>43840</v>
      </c>
    </row>
    <row r="263" spans="1:13">
      <c r="A263" t="s">
        <v>1038</v>
      </c>
      <c r="B263" t="s">
        <v>87</v>
      </c>
      <c r="C263" t="s">
        <v>88</v>
      </c>
      <c r="D263" t="s">
        <v>71</v>
      </c>
      <c r="E263">
        <v>2021</v>
      </c>
      <c r="F263" s="4">
        <v>1931065</v>
      </c>
      <c r="G263" s="5">
        <v>1.8499999999999999E-2</v>
      </c>
      <c r="H263" s="6">
        <v>35724.699999999997</v>
      </c>
      <c r="I263" t="s">
        <v>1039</v>
      </c>
      <c r="J263" t="s">
        <v>1040</v>
      </c>
      <c r="K263" t="s">
        <v>1041</v>
      </c>
      <c r="L263" s="4">
        <v>2345340</v>
      </c>
      <c r="M263" s="7">
        <v>45453</v>
      </c>
    </row>
    <row r="264" spans="1:13">
      <c r="A264" t="s">
        <v>1042</v>
      </c>
      <c r="B264" t="s">
        <v>101</v>
      </c>
      <c r="C264" t="s">
        <v>102</v>
      </c>
      <c r="D264" t="s">
        <v>82</v>
      </c>
      <c r="E264">
        <v>2023</v>
      </c>
      <c r="F264" s="4">
        <v>135379068</v>
      </c>
      <c r="G264" s="5">
        <v>1.52E-2</v>
      </c>
      <c r="H264" s="6">
        <v>2057761.83</v>
      </c>
      <c r="I264" t="s">
        <v>1043</v>
      </c>
      <c r="J264" t="s">
        <v>1044</v>
      </c>
      <c r="K264" t="s">
        <v>1045</v>
      </c>
      <c r="L264" s="4">
        <v>7577988</v>
      </c>
      <c r="M264" s="7">
        <v>44370</v>
      </c>
    </row>
    <row r="265" spans="1:13">
      <c r="A265" t="s">
        <v>1046</v>
      </c>
      <c r="B265" t="s">
        <v>56</v>
      </c>
      <c r="C265" t="s">
        <v>57</v>
      </c>
      <c r="D265" t="s">
        <v>71</v>
      </c>
      <c r="E265">
        <v>2024</v>
      </c>
      <c r="F265" s="4">
        <v>746068</v>
      </c>
      <c r="G265" s="5">
        <v>1.84E-2</v>
      </c>
      <c r="H265" s="6">
        <v>13727.65</v>
      </c>
      <c r="I265" t="s">
        <v>1047</v>
      </c>
      <c r="J265" t="s">
        <v>1048</v>
      </c>
      <c r="K265" t="s">
        <v>1049</v>
      </c>
      <c r="L265" s="4">
        <v>849867</v>
      </c>
      <c r="M265" s="7">
        <v>45326</v>
      </c>
    </row>
    <row r="266" spans="1:13">
      <c r="A266" t="s">
        <v>1050</v>
      </c>
      <c r="B266" t="s">
        <v>1051</v>
      </c>
      <c r="C266" t="s">
        <v>64</v>
      </c>
      <c r="D266" t="s">
        <v>82</v>
      </c>
      <c r="E266">
        <v>2023</v>
      </c>
      <c r="F266" s="4">
        <v>5282985</v>
      </c>
      <c r="G266" s="5">
        <v>1.5100000000000001E-2</v>
      </c>
      <c r="H266" s="6">
        <v>79773.070000000007</v>
      </c>
      <c r="I266" t="s">
        <v>1052</v>
      </c>
      <c r="J266" t="s">
        <v>1053</v>
      </c>
      <c r="K266" t="s">
        <v>182</v>
      </c>
      <c r="L266" s="4">
        <v>4813518</v>
      </c>
      <c r="M266" s="7">
        <v>45145</v>
      </c>
    </row>
    <row r="267" spans="1:13">
      <c r="A267" t="s">
        <v>1054</v>
      </c>
      <c r="B267" t="s">
        <v>69</v>
      </c>
      <c r="C267" t="s">
        <v>70</v>
      </c>
      <c r="D267" t="s">
        <v>58</v>
      </c>
      <c r="E267">
        <v>2023</v>
      </c>
      <c r="F267" s="4">
        <v>584077</v>
      </c>
      <c r="G267" s="5">
        <v>9.5999999999999992E-3</v>
      </c>
      <c r="H267" s="6">
        <v>5607.14</v>
      </c>
      <c r="I267" t="s">
        <v>1055</v>
      </c>
      <c r="J267" t="s">
        <v>1056</v>
      </c>
      <c r="K267" t="s">
        <v>635</v>
      </c>
      <c r="L267" s="4">
        <v>601117</v>
      </c>
      <c r="M267" s="7">
        <v>45281</v>
      </c>
    </row>
    <row r="268" spans="1:13">
      <c r="A268" t="s">
        <v>632</v>
      </c>
      <c r="B268" t="s">
        <v>63</v>
      </c>
      <c r="C268" t="s">
        <v>64</v>
      </c>
      <c r="D268" t="s">
        <v>82</v>
      </c>
      <c r="E268">
        <v>2023</v>
      </c>
      <c r="F268" s="4">
        <v>7396153</v>
      </c>
      <c r="G268" s="5">
        <v>1.4800000000000001E-2</v>
      </c>
      <c r="H268" s="6">
        <v>109463.06</v>
      </c>
      <c r="I268" t="s">
        <v>1057</v>
      </c>
      <c r="J268" t="s">
        <v>1058</v>
      </c>
      <c r="K268" t="s">
        <v>205</v>
      </c>
      <c r="L268" s="4">
        <v>7300499</v>
      </c>
      <c r="M268" s="7">
        <v>45111</v>
      </c>
    </row>
    <row r="269" spans="1:13">
      <c r="A269" t="s">
        <v>1059</v>
      </c>
      <c r="B269" t="s">
        <v>131</v>
      </c>
      <c r="C269" t="s">
        <v>132</v>
      </c>
      <c r="D269" t="s">
        <v>82</v>
      </c>
      <c r="E269">
        <v>2024</v>
      </c>
      <c r="F269" s="4">
        <v>10214495</v>
      </c>
      <c r="G269" s="5">
        <v>1.3100000000000001E-2</v>
      </c>
      <c r="H269" s="6">
        <v>154238.87</v>
      </c>
      <c r="I269" t="s">
        <v>1060</v>
      </c>
      <c r="J269" t="s">
        <v>1061</v>
      </c>
      <c r="K269" t="s">
        <v>1062</v>
      </c>
      <c r="L269" s="4">
        <v>12762519</v>
      </c>
      <c r="M269" s="7">
        <v>45104</v>
      </c>
    </row>
    <row r="270" spans="1:13">
      <c r="A270" t="s">
        <v>1063</v>
      </c>
      <c r="B270" t="s">
        <v>150</v>
      </c>
      <c r="C270" t="s">
        <v>151</v>
      </c>
      <c r="D270" t="s">
        <v>71</v>
      </c>
      <c r="E270">
        <v>2023</v>
      </c>
      <c r="F270" s="4">
        <v>8054845</v>
      </c>
      <c r="G270" s="5">
        <v>1.83E-2</v>
      </c>
      <c r="H270" s="6">
        <v>147403.66</v>
      </c>
      <c r="I270" t="s">
        <v>1064</v>
      </c>
      <c r="J270" t="s">
        <v>1065</v>
      </c>
      <c r="K270" t="s">
        <v>252</v>
      </c>
      <c r="L270" s="4">
        <v>7249912</v>
      </c>
      <c r="M270" s="7">
        <v>43901</v>
      </c>
    </row>
    <row r="271" spans="1:13">
      <c r="A271" t="s">
        <v>1066</v>
      </c>
      <c r="B271" t="s">
        <v>137</v>
      </c>
      <c r="C271" t="s">
        <v>138</v>
      </c>
      <c r="D271" t="s">
        <v>82</v>
      </c>
      <c r="E271">
        <v>2021</v>
      </c>
      <c r="F271" s="4">
        <v>7268460</v>
      </c>
      <c r="G271" s="5">
        <v>1.4999999999999999E-2</v>
      </c>
      <c r="H271" s="6">
        <v>109026.9</v>
      </c>
      <c r="I271" t="s">
        <v>1067</v>
      </c>
      <c r="J271" t="s">
        <v>60</v>
      </c>
      <c r="K271" t="s">
        <v>519</v>
      </c>
      <c r="L271" s="4">
        <v>6893719</v>
      </c>
      <c r="M271" s="7">
        <v>44969</v>
      </c>
    </row>
    <row r="272" spans="1:13">
      <c r="A272" t="s">
        <v>1068</v>
      </c>
      <c r="B272" t="s">
        <v>87</v>
      </c>
      <c r="C272" t="s">
        <v>88</v>
      </c>
      <c r="D272" t="s">
        <v>97</v>
      </c>
      <c r="E272">
        <v>2022</v>
      </c>
      <c r="F272" s="4">
        <v>1817519</v>
      </c>
      <c r="G272" s="5">
        <v>2.0500000000000001E-2</v>
      </c>
      <c r="H272" s="6">
        <v>37259.14</v>
      </c>
      <c r="I272" t="s">
        <v>1069</v>
      </c>
      <c r="J272" t="s">
        <v>1070</v>
      </c>
      <c r="K272" t="s">
        <v>1071</v>
      </c>
      <c r="L272" s="4">
        <v>2157087</v>
      </c>
      <c r="M272" s="7">
        <v>43856</v>
      </c>
    </row>
    <row r="273" spans="1:13">
      <c r="A273" t="s">
        <v>1072</v>
      </c>
      <c r="B273" t="s">
        <v>87</v>
      </c>
      <c r="C273" t="s">
        <v>88</v>
      </c>
      <c r="D273" t="s">
        <v>71</v>
      </c>
      <c r="E273">
        <v>2021</v>
      </c>
      <c r="F273" s="4">
        <v>6803154</v>
      </c>
      <c r="G273" s="5">
        <v>1.8499999999999999E-2</v>
      </c>
      <c r="H273" s="6">
        <v>125858.35</v>
      </c>
      <c r="I273" t="s">
        <v>1073</v>
      </c>
      <c r="J273" t="s">
        <v>1074</v>
      </c>
      <c r="K273" t="s">
        <v>986</v>
      </c>
      <c r="L273" s="4">
        <v>7973953</v>
      </c>
      <c r="M273" s="7">
        <v>45032</v>
      </c>
    </row>
    <row r="274" spans="1:13">
      <c r="A274" t="s">
        <v>1075</v>
      </c>
      <c r="B274" t="s">
        <v>63</v>
      </c>
      <c r="C274" t="s">
        <v>64</v>
      </c>
      <c r="D274" t="s">
        <v>71</v>
      </c>
      <c r="E274">
        <v>2021</v>
      </c>
      <c r="F274" s="4">
        <v>3736456</v>
      </c>
      <c r="G274" s="5">
        <v>1.8499999999999999E-2</v>
      </c>
      <c r="H274" s="6">
        <v>69124.44</v>
      </c>
      <c r="I274" t="s">
        <v>1076</v>
      </c>
      <c r="J274" t="s">
        <v>1077</v>
      </c>
      <c r="K274" t="s">
        <v>1078</v>
      </c>
      <c r="L274" s="4">
        <v>3878489</v>
      </c>
      <c r="M274" s="7">
        <v>44007</v>
      </c>
    </row>
    <row r="275" spans="1:13">
      <c r="A275" t="s">
        <v>1079</v>
      </c>
      <c r="B275" t="s">
        <v>150</v>
      </c>
      <c r="C275" t="s">
        <v>151</v>
      </c>
      <c r="D275" t="s">
        <v>51</v>
      </c>
      <c r="E275">
        <v>2024</v>
      </c>
      <c r="F275" s="4">
        <v>825208</v>
      </c>
      <c r="G275" s="5">
        <v>1.23E-2</v>
      </c>
      <c r="H275" s="6">
        <v>10150.06</v>
      </c>
      <c r="I275" t="s">
        <v>1080</v>
      </c>
      <c r="J275" t="s">
        <v>1081</v>
      </c>
      <c r="K275" t="s">
        <v>1082</v>
      </c>
      <c r="L275" s="4">
        <v>920601</v>
      </c>
      <c r="M275" s="7">
        <v>45703</v>
      </c>
    </row>
    <row r="276" spans="1:13">
      <c r="A276" t="s">
        <v>1083</v>
      </c>
      <c r="B276" t="s">
        <v>56</v>
      </c>
      <c r="C276" t="s">
        <v>57</v>
      </c>
      <c r="D276" t="s">
        <v>97</v>
      </c>
      <c r="E276">
        <v>2022</v>
      </c>
      <c r="F276" s="4">
        <v>1149459</v>
      </c>
      <c r="G276" s="5">
        <v>2.0400000000000001E-2</v>
      </c>
      <c r="H276" s="6">
        <v>23448.959999999999</v>
      </c>
      <c r="I276" t="s">
        <v>1084</v>
      </c>
      <c r="J276" t="s">
        <v>1085</v>
      </c>
      <c r="K276" t="s">
        <v>806</v>
      </c>
      <c r="L276" s="4">
        <v>1431856</v>
      </c>
      <c r="M276" s="7">
        <v>45277</v>
      </c>
    </row>
    <row r="277" spans="1:13">
      <c r="A277" t="s">
        <v>1086</v>
      </c>
      <c r="B277" t="s">
        <v>87</v>
      </c>
      <c r="C277" t="s">
        <v>84</v>
      </c>
      <c r="D277" t="s">
        <v>97</v>
      </c>
      <c r="E277">
        <v>2024</v>
      </c>
      <c r="F277" s="4">
        <v>993161</v>
      </c>
      <c r="G277" s="5">
        <v>2.0500000000000001E-2</v>
      </c>
      <c r="H277" s="6">
        <v>20359.8</v>
      </c>
      <c r="I277" t="s">
        <v>1087</v>
      </c>
      <c r="J277" t="s">
        <v>1088</v>
      </c>
      <c r="K277" t="s">
        <v>620</v>
      </c>
      <c r="L277" s="4">
        <v>1050289</v>
      </c>
      <c r="M277" s="7">
        <v>44243</v>
      </c>
    </row>
    <row r="278" spans="1:13">
      <c r="A278" t="s">
        <v>1089</v>
      </c>
      <c r="B278" t="s">
        <v>150</v>
      </c>
      <c r="C278" t="s">
        <v>151</v>
      </c>
      <c r="D278" t="s">
        <v>97</v>
      </c>
      <c r="E278">
        <v>2022</v>
      </c>
      <c r="F278" s="4">
        <v>1664042</v>
      </c>
      <c r="G278" s="5">
        <v>2.0299999999999999E-2</v>
      </c>
      <c r="H278" s="6">
        <v>33780.050000000003</v>
      </c>
      <c r="I278" t="s">
        <v>1090</v>
      </c>
      <c r="J278" t="s">
        <v>937</v>
      </c>
      <c r="K278" t="s">
        <v>1091</v>
      </c>
      <c r="L278" s="4">
        <v>1614526</v>
      </c>
      <c r="M278" s="7">
        <v>44577</v>
      </c>
    </row>
    <row r="279" spans="1:13">
      <c r="A279" t="s">
        <v>1092</v>
      </c>
      <c r="B279" t="s">
        <v>63</v>
      </c>
      <c r="C279" t="s">
        <v>64</v>
      </c>
      <c r="D279" t="s">
        <v>58</v>
      </c>
      <c r="E279">
        <v>2021</v>
      </c>
      <c r="F279" s="4">
        <v>650671</v>
      </c>
      <c r="G279" s="5">
        <v>9.4999999999999998E-3</v>
      </c>
      <c r="H279" s="6">
        <v>6181.37</v>
      </c>
      <c r="I279" t="s">
        <v>1093</v>
      </c>
      <c r="J279" t="s">
        <v>1094</v>
      </c>
      <c r="K279" t="s">
        <v>385</v>
      </c>
      <c r="L279" s="4">
        <v>628058</v>
      </c>
      <c r="M279" s="7">
        <v>46640</v>
      </c>
    </row>
    <row r="280" spans="1:13">
      <c r="A280" t="s">
        <v>1095</v>
      </c>
      <c r="B280" t="s">
        <v>101</v>
      </c>
      <c r="C280" t="s">
        <v>102</v>
      </c>
      <c r="D280" t="s">
        <v>82</v>
      </c>
      <c r="E280">
        <v>2021</v>
      </c>
      <c r="F280" s="4">
        <v>2251454</v>
      </c>
      <c r="G280" s="5">
        <v>1.52E-2</v>
      </c>
      <c r="H280" s="6">
        <v>34222.1</v>
      </c>
      <c r="I280" t="s">
        <v>1096</v>
      </c>
      <c r="J280" t="s">
        <v>1097</v>
      </c>
      <c r="K280" t="s">
        <v>318</v>
      </c>
      <c r="L280" s="4">
        <v>2666087</v>
      </c>
      <c r="M280" s="7">
        <v>44521</v>
      </c>
    </row>
    <row r="281" spans="1:13">
      <c r="A281" t="s">
        <v>1098</v>
      </c>
      <c r="B281" t="s">
        <v>69</v>
      </c>
      <c r="C281" t="s">
        <v>70</v>
      </c>
      <c r="D281" t="s">
        <v>51</v>
      </c>
      <c r="E281">
        <v>2023</v>
      </c>
      <c r="F281" s="4">
        <v>585844</v>
      </c>
      <c r="G281" s="5">
        <v>1.26E-2</v>
      </c>
      <c r="H281" s="6">
        <v>7381.63</v>
      </c>
      <c r="I281" t="s">
        <v>1099</v>
      </c>
      <c r="J281" t="s">
        <v>1100</v>
      </c>
      <c r="K281" t="s">
        <v>1101</v>
      </c>
      <c r="L281" s="4">
        <v>651388</v>
      </c>
      <c r="M281" s="7">
        <v>44750</v>
      </c>
    </row>
    <row r="282" spans="1:13">
      <c r="A282" t="s">
        <v>1102</v>
      </c>
      <c r="B282" t="s">
        <v>56</v>
      </c>
      <c r="C282" t="s">
        <v>57</v>
      </c>
      <c r="D282" t="s">
        <v>97</v>
      </c>
      <c r="E282">
        <v>2022</v>
      </c>
      <c r="F282" s="4">
        <v>3141007</v>
      </c>
      <c r="G282" s="5">
        <v>2.0400000000000001E-2</v>
      </c>
      <c r="H282" s="6">
        <v>64076.54</v>
      </c>
      <c r="I282" t="s">
        <v>1103</v>
      </c>
      <c r="J282" t="s">
        <v>1104</v>
      </c>
      <c r="K282" t="s">
        <v>1105</v>
      </c>
      <c r="L282" s="4">
        <v>2957056</v>
      </c>
      <c r="M282" s="7">
        <v>44766</v>
      </c>
    </row>
    <row r="283" spans="1:13">
      <c r="A283" t="s">
        <v>1106</v>
      </c>
      <c r="B283" t="s">
        <v>131</v>
      </c>
      <c r="C283" t="s">
        <v>132</v>
      </c>
      <c r="D283" t="s">
        <v>51</v>
      </c>
      <c r="E283">
        <v>2023</v>
      </c>
      <c r="F283" s="4">
        <v>1143125</v>
      </c>
      <c r="G283" s="5">
        <v>1.2800000000000001E-2</v>
      </c>
      <c r="H283" s="6">
        <v>14632</v>
      </c>
      <c r="I283" t="s">
        <v>1107</v>
      </c>
      <c r="J283" t="s">
        <v>1108</v>
      </c>
      <c r="K283" t="s">
        <v>1109</v>
      </c>
      <c r="L283" s="4">
        <v>1255683</v>
      </c>
      <c r="M283" s="7">
        <v>44303</v>
      </c>
    </row>
    <row r="284" spans="1:13">
      <c r="A284" t="s">
        <v>1110</v>
      </c>
      <c r="B284" t="s">
        <v>87</v>
      </c>
      <c r="C284" t="s">
        <v>88</v>
      </c>
      <c r="D284" t="s">
        <v>97</v>
      </c>
      <c r="E284">
        <v>2022</v>
      </c>
      <c r="F284" s="4">
        <v>3288382</v>
      </c>
      <c r="G284" s="5">
        <v>2.0500000000000001E-2</v>
      </c>
      <c r="H284" s="6">
        <v>67411.83</v>
      </c>
      <c r="I284" t="s">
        <v>1111</v>
      </c>
      <c r="J284" t="s">
        <v>1112</v>
      </c>
      <c r="K284" t="s">
        <v>1113</v>
      </c>
      <c r="L284" s="4">
        <v>2996638</v>
      </c>
      <c r="M284" s="7">
        <v>43527</v>
      </c>
    </row>
    <row r="285" spans="1:13">
      <c r="A285" t="s">
        <v>1114</v>
      </c>
      <c r="B285" t="s">
        <v>137</v>
      </c>
      <c r="C285" t="s">
        <v>138</v>
      </c>
      <c r="D285" t="s">
        <v>58</v>
      </c>
      <c r="E285">
        <v>2022</v>
      </c>
      <c r="F285" s="4">
        <v>2512271</v>
      </c>
      <c r="G285" s="5">
        <v>1.2200000000000001E-2</v>
      </c>
      <c r="H285" s="6">
        <v>24369.03</v>
      </c>
      <c r="I285" t="s">
        <v>1115</v>
      </c>
      <c r="J285" t="s">
        <v>1116</v>
      </c>
      <c r="K285" t="s">
        <v>1117</v>
      </c>
      <c r="L285" s="4">
        <v>2536173</v>
      </c>
      <c r="M285" s="7">
        <v>45662</v>
      </c>
    </row>
    <row r="286" spans="1:13">
      <c r="A286" t="s">
        <v>1118</v>
      </c>
      <c r="B286" t="s">
        <v>56</v>
      </c>
      <c r="C286" t="s">
        <v>57</v>
      </c>
      <c r="D286" t="s">
        <v>51</v>
      </c>
      <c r="E286">
        <v>2021</v>
      </c>
      <c r="F286" s="4">
        <v>736675</v>
      </c>
      <c r="G286" s="5">
        <v>1.24E-2</v>
      </c>
      <c r="H286" s="6">
        <v>9134.77</v>
      </c>
      <c r="I286" t="s">
        <v>1119</v>
      </c>
      <c r="J286" t="s">
        <v>1120</v>
      </c>
      <c r="K286" t="s">
        <v>560</v>
      </c>
      <c r="L286" s="4">
        <v>741533</v>
      </c>
      <c r="M286" s="7">
        <v>44637</v>
      </c>
    </row>
    <row r="287" spans="1:13">
      <c r="A287" t="s">
        <v>1121</v>
      </c>
      <c r="B287" t="s">
        <v>101</v>
      </c>
      <c r="C287" t="s">
        <v>102</v>
      </c>
      <c r="D287" t="s">
        <v>97</v>
      </c>
      <c r="E287">
        <v>2024</v>
      </c>
      <c r="F287" s="4">
        <v>1926273</v>
      </c>
      <c r="G287" s="5">
        <v>2.0899999999999998E-2</v>
      </c>
      <c r="H287" s="6">
        <v>40259.11</v>
      </c>
      <c r="I287" t="s">
        <v>1122</v>
      </c>
      <c r="J287" t="s">
        <v>1123</v>
      </c>
      <c r="K287" t="s">
        <v>1071</v>
      </c>
      <c r="L287" s="4">
        <v>1824869</v>
      </c>
      <c r="M287" s="7">
        <v>45043</v>
      </c>
    </row>
    <row r="288" spans="1:13">
      <c r="A288" t="s">
        <v>1124</v>
      </c>
      <c r="B288" t="s">
        <v>150</v>
      </c>
      <c r="C288" t="s">
        <v>151</v>
      </c>
      <c r="D288" t="s">
        <v>58</v>
      </c>
      <c r="E288">
        <v>2021</v>
      </c>
      <c r="F288" s="4">
        <v>951378</v>
      </c>
      <c r="G288" s="5">
        <v>9.2999999999999992E-3</v>
      </c>
      <c r="H288" s="6">
        <v>8847.82</v>
      </c>
      <c r="I288" t="s">
        <v>1125</v>
      </c>
      <c r="J288" t="s">
        <v>1126</v>
      </c>
      <c r="K288" t="s">
        <v>1117</v>
      </c>
      <c r="L288" s="4">
        <v>1119651</v>
      </c>
      <c r="M288" s="7">
        <v>45561</v>
      </c>
    </row>
    <row r="289" spans="1:13">
      <c r="A289" t="s">
        <v>1127</v>
      </c>
      <c r="B289" t="s">
        <v>87</v>
      </c>
      <c r="C289" t="s">
        <v>88</v>
      </c>
      <c r="D289" t="s">
        <v>97</v>
      </c>
      <c r="E289">
        <v>2024</v>
      </c>
      <c r="F289" s="4">
        <v>2747945</v>
      </c>
      <c r="G289" s="5">
        <v>2.0500000000000001E-2</v>
      </c>
      <c r="H289" s="6">
        <v>56482.87</v>
      </c>
      <c r="I289" t="s">
        <v>1128</v>
      </c>
      <c r="J289" t="s">
        <v>1129</v>
      </c>
      <c r="K289" t="s">
        <v>1130</v>
      </c>
      <c r="L289" s="4">
        <v>3075661</v>
      </c>
      <c r="M289" s="7">
        <v>44437</v>
      </c>
    </row>
    <row r="290" spans="1:13">
      <c r="A290" t="s">
        <v>1131</v>
      </c>
      <c r="B290" t="s">
        <v>131</v>
      </c>
      <c r="C290" t="s">
        <v>132</v>
      </c>
      <c r="D290" t="s">
        <v>97</v>
      </c>
      <c r="E290">
        <v>2021</v>
      </c>
      <c r="F290" s="4">
        <v>3020507</v>
      </c>
      <c r="G290" s="5">
        <v>2.0799999999999999E-2</v>
      </c>
      <c r="H290" s="6">
        <v>62826.55</v>
      </c>
      <c r="I290" t="s">
        <v>1132</v>
      </c>
      <c r="J290" t="s">
        <v>1133</v>
      </c>
      <c r="K290" t="s">
        <v>1134</v>
      </c>
      <c r="L290" s="4">
        <v>3185597</v>
      </c>
      <c r="M290" s="7">
        <v>43492</v>
      </c>
    </row>
    <row r="291" spans="1:13">
      <c r="A291" t="s">
        <v>1135</v>
      </c>
      <c r="B291" t="s">
        <v>76</v>
      </c>
      <c r="C291" t="s">
        <v>77</v>
      </c>
      <c r="D291" t="s">
        <v>82</v>
      </c>
      <c r="E291">
        <v>2023</v>
      </c>
      <c r="F291" s="4">
        <v>8472301</v>
      </c>
      <c r="G291" s="5">
        <v>1.47E-2</v>
      </c>
      <c r="H291" s="6">
        <v>124542.82</v>
      </c>
      <c r="I291" t="s">
        <v>1136</v>
      </c>
      <c r="J291" t="s">
        <v>1137</v>
      </c>
      <c r="K291" t="s">
        <v>84</v>
      </c>
      <c r="L291" s="4">
        <v>8861475</v>
      </c>
      <c r="M291" s="7">
        <v>44196</v>
      </c>
    </row>
    <row r="292" spans="1:13">
      <c r="A292" t="s">
        <v>1138</v>
      </c>
      <c r="B292" t="s">
        <v>131</v>
      </c>
      <c r="C292" t="s">
        <v>132</v>
      </c>
      <c r="D292" t="s">
        <v>71</v>
      </c>
      <c r="E292">
        <v>2022</v>
      </c>
      <c r="F292" s="4">
        <v>10161125</v>
      </c>
      <c r="G292" s="5">
        <v>1.8800000000000001E-2</v>
      </c>
      <c r="H292" s="6">
        <v>191029.15</v>
      </c>
      <c r="I292" t="s">
        <v>1139</v>
      </c>
      <c r="J292" t="s">
        <v>1140</v>
      </c>
      <c r="K292" t="s">
        <v>1141</v>
      </c>
      <c r="L292" s="4">
        <v>9578975</v>
      </c>
      <c r="M292" s="7">
        <v>44590</v>
      </c>
    </row>
    <row r="293" spans="1:13">
      <c r="A293" t="s">
        <v>1142</v>
      </c>
      <c r="B293" t="s">
        <v>150</v>
      </c>
      <c r="C293" t="s">
        <v>151</v>
      </c>
      <c r="D293" t="s">
        <v>82</v>
      </c>
      <c r="E293">
        <v>2024</v>
      </c>
      <c r="F293" s="4">
        <v>7347021</v>
      </c>
      <c r="G293" s="5">
        <v>1.46E-2</v>
      </c>
      <c r="H293" s="6">
        <v>107266.51</v>
      </c>
      <c r="I293" t="s">
        <v>1143</v>
      </c>
      <c r="J293" t="s">
        <v>583</v>
      </c>
      <c r="K293" t="s">
        <v>855</v>
      </c>
      <c r="L293" s="4">
        <v>7963340</v>
      </c>
      <c r="M293" s="7">
        <v>45473</v>
      </c>
    </row>
    <row r="294" spans="1:13">
      <c r="A294" t="s">
        <v>1144</v>
      </c>
      <c r="B294" t="s">
        <v>150</v>
      </c>
      <c r="C294" t="s">
        <v>151</v>
      </c>
      <c r="D294" t="s">
        <v>97</v>
      </c>
      <c r="E294">
        <v>2024</v>
      </c>
      <c r="F294" s="4">
        <v>2638970</v>
      </c>
      <c r="G294" s="5">
        <v>1.9300000000000001E-2</v>
      </c>
      <c r="H294" s="6">
        <v>53571.09</v>
      </c>
      <c r="I294" t="s">
        <v>1145</v>
      </c>
      <c r="J294" t="s">
        <v>1146</v>
      </c>
      <c r="K294" t="s">
        <v>1147</v>
      </c>
      <c r="L294" s="4">
        <v>3158384</v>
      </c>
      <c r="M294" s="7">
        <v>45457</v>
      </c>
    </row>
    <row r="295" spans="1:13">
      <c r="A295" t="s">
        <v>1148</v>
      </c>
      <c r="B295" t="s">
        <v>69</v>
      </c>
      <c r="C295" t="s">
        <v>70</v>
      </c>
      <c r="D295" t="s">
        <v>58</v>
      </c>
      <c r="E295">
        <v>2021</v>
      </c>
      <c r="F295" s="4">
        <v>1303602</v>
      </c>
      <c r="G295" s="5">
        <v>9.5999999999999992E-3</v>
      </c>
      <c r="H295" s="6">
        <v>12514.58</v>
      </c>
      <c r="I295" t="s">
        <v>1149</v>
      </c>
      <c r="J295" t="s">
        <v>1150</v>
      </c>
      <c r="K295" t="s">
        <v>154</v>
      </c>
      <c r="L295" s="4">
        <v>1486162</v>
      </c>
      <c r="M295" s="7">
        <v>44864</v>
      </c>
    </row>
    <row r="296" spans="1:13">
      <c r="A296" t="s">
        <v>1151</v>
      </c>
      <c r="B296" t="s">
        <v>69</v>
      </c>
      <c r="C296" t="s">
        <v>70</v>
      </c>
      <c r="D296" t="s">
        <v>82</v>
      </c>
      <c r="E296">
        <v>2021</v>
      </c>
      <c r="F296" s="4">
        <v>11667693</v>
      </c>
      <c r="G296" s="5">
        <v>1.49E-2</v>
      </c>
      <c r="H296" s="6">
        <v>173848.63</v>
      </c>
      <c r="I296" t="s">
        <v>1152</v>
      </c>
      <c r="J296" t="s">
        <v>937</v>
      </c>
      <c r="K296" t="s">
        <v>412</v>
      </c>
      <c r="L296" s="4">
        <v>12389509</v>
      </c>
      <c r="M296" s="7">
        <v>45161</v>
      </c>
    </row>
    <row r="297" spans="1:13">
      <c r="A297" t="s">
        <v>1153</v>
      </c>
      <c r="B297" t="s">
        <v>63</v>
      </c>
      <c r="C297" t="s">
        <v>64</v>
      </c>
      <c r="D297" t="s">
        <v>82</v>
      </c>
      <c r="E297">
        <v>2023</v>
      </c>
      <c r="F297" s="4">
        <v>7808553</v>
      </c>
      <c r="G297" s="5">
        <v>1.4800000000000001E-2</v>
      </c>
      <c r="H297" s="6">
        <v>115646.58</v>
      </c>
      <c r="I297" t="s">
        <v>1154</v>
      </c>
      <c r="J297" t="s">
        <v>1155</v>
      </c>
      <c r="K297" t="s">
        <v>533</v>
      </c>
      <c r="L297" s="4">
        <v>8487863</v>
      </c>
      <c r="M297" s="7">
        <v>44170</v>
      </c>
    </row>
    <row r="298" spans="1:13">
      <c r="A298" t="s">
        <v>1156</v>
      </c>
      <c r="B298" t="s">
        <v>87</v>
      </c>
      <c r="C298" t="s">
        <v>88</v>
      </c>
      <c r="D298" t="s">
        <v>82</v>
      </c>
      <c r="E298">
        <v>2024</v>
      </c>
      <c r="F298" s="4">
        <v>4068352</v>
      </c>
      <c r="G298" s="5">
        <v>1.4800000000000001E-2</v>
      </c>
      <c r="H298" s="6">
        <v>60211.61</v>
      </c>
      <c r="I298" t="s">
        <v>1157</v>
      </c>
      <c r="J298" t="s">
        <v>1158</v>
      </c>
      <c r="K298" t="s">
        <v>272</v>
      </c>
      <c r="L298" s="4">
        <v>4409219</v>
      </c>
      <c r="M298" s="7">
        <v>44555</v>
      </c>
    </row>
    <row r="299" spans="1:13">
      <c r="A299" t="s">
        <v>1159</v>
      </c>
      <c r="B299" t="s">
        <v>678</v>
      </c>
      <c r="C299" t="s">
        <v>50</v>
      </c>
      <c r="D299" t="s">
        <v>71</v>
      </c>
      <c r="E299">
        <v>2021</v>
      </c>
      <c r="F299" s="4">
        <v>7278552</v>
      </c>
      <c r="G299" s="5">
        <v>1.8100000000000002E-2</v>
      </c>
      <c r="H299" s="6">
        <v>131741.79</v>
      </c>
      <c r="I299" t="s">
        <v>1160</v>
      </c>
      <c r="J299" t="s">
        <v>1161</v>
      </c>
      <c r="K299" t="s">
        <v>1162</v>
      </c>
      <c r="L299" s="4">
        <v>8510945</v>
      </c>
      <c r="M299" s="7">
        <v>43868</v>
      </c>
    </row>
    <row r="300" spans="1:13">
      <c r="A300" t="s">
        <v>1163</v>
      </c>
      <c r="B300" t="s">
        <v>56</v>
      </c>
      <c r="C300" t="s">
        <v>57</v>
      </c>
      <c r="D300" t="s">
        <v>97</v>
      </c>
      <c r="E300">
        <v>2022</v>
      </c>
      <c r="F300" s="4">
        <v>3454789</v>
      </c>
      <c r="G300" s="5">
        <v>2.0400000000000001E-2</v>
      </c>
      <c r="H300" s="6">
        <v>70477.7</v>
      </c>
      <c r="I300" t="s">
        <v>1164</v>
      </c>
      <c r="J300" t="s">
        <v>1165</v>
      </c>
      <c r="K300" t="s">
        <v>580</v>
      </c>
      <c r="L300" s="4">
        <v>3807682</v>
      </c>
      <c r="M300" s="7">
        <v>44744</v>
      </c>
    </row>
    <row r="301" spans="1:13">
      <c r="A301" t="s">
        <v>1166</v>
      </c>
      <c r="B301" t="s">
        <v>76</v>
      </c>
      <c r="C301" t="s">
        <v>77</v>
      </c>
      <c r="D301" t="s">
        <v>71</v>
      </c>
      <c r="E301">
        <v>2022</v>
      </c>
      <c r="F301" s="4">
        <v>2988944</v>
      </c>
      <c r="G301" s="5">
        <v>1.84E-2</v>
      </c>
      <c r="H301" s="6">
        <v>54996.57</v>
      </c>
      <c r="I301" t="s">
        <v>1167</v>
      </c>
      <c r="J301" t="s">
        <v>1168</v>
      </c>
      <c r="K301" t="s">
        <v>221</v>
      </c>
      <c r="L301" s="4">
        <v>2797148</v>
      </c>
      <c r="M301" s="7">
        <v>45688</v>
      </c>
    </row>
    <row r="302" spans="1:13">
      <c r="A302" t="s">
        <v>1169</v>
      </c>
      <c r="B302" t="s">
        <v>150</v>
      </c>
      <c r="C302" t="s">
        <v>151</v>
      </c>
      <c r="D302" t="s">
        <v>82</v>
      </c>
      <c r="E302">
        <v>2023</v>
      </c>
      <c r="F302" s="4">
        <v>4807994</v>
      </c>
      <c r="G302" s="5">
        <v>1.46E-2</v>
      </c>
      <c r="H302" s="6">
        <v>70196.710000000006</v>
      </c>
      <c r="I302" t="s">
        <v>1170</v>
      </c>
      <c r="J302" t="s">
        <v>1171</v>
      </c>
      <c r="K302" t="s">
        <v>1172</v>
      </c>
      <c r="L302" s="4">
        <v>4972715</v>
      </c>
      <c r="M302" s="7">
        <v>44007</v>
      </c>
    </row>
    <row r="303" spans="1:13">
      <c r="A303" t="s">
        <v>1173</v>
      </c>
      <c r="B303" t="s">
        <v>69</v>
      </c>
      <c r="C303" t="s">
        <v>70</v>
      </c>
      <c r="D303" t="s">
        <v>58</v>
      </c>
      <c r="E303">
        <v>2022</v>
      </c>
      <c r="F303" s="4">
        <v>2371840</v>
      </c>
      <c r="G303" s="5">
        <v>9.5999999999999992E-3</v>
      </c>
      <c r="H303" s="6">
        <v>22769.66</v>
      </c>
      <c r="I303" t="s">
        <v>1174</v>
      </c>
      <c r="J303" t="s">
        <v>1175</v>
      </c>
      <c r="K303" t="s">
        <v>428</v>
      </c>
      <c r="L303" s="4" t="s">
        <v>84</v>
      </c>
      <c r="M303" s="7">
        <v>45372</v>
      </c>
    </row>
    <row r="304" spans="1:13">
      <c r="A304" t="s">
        <v>1176</v>
      </c>
      <c r="B304" t="s">
        <v>101</v>
      </c>
      <c r="C304" t="s">
        <v>102</v>
      </c>
      <c r="D304" t="s">
        <v>97</v>
      </c>
      <c r="E304">
        <v>2022</v>
      </c>
      <c r="F304" s="4">
        <v>1461498</v>
      </c>
      <c r="G304" s="5">
        <v>2.0899999999999998E-2</v>
      </c>
      <c r="H304" s="6">
        <v>30545.31</v>
      </c>
      <c r="I304" t="s">
        <v>1177</v>
      </c>
      <c r="J304" t="s">
        <v>1178</v>
      </c>
      <c r="K304" t="s">
        <v>256</v>
      </c>
      <c r="L304" s="4">
        <v>1747978</v>
      </c>
      <c r="M304" s="7">
        <v>44622</v>
      </c>
    </row>
    <row r="305" spans="1:13">
      <c r="A305" t="s">
        <v>1179</v>
      </c>
      <c r="B305" t="s">
        <v>150</v>
      </c>
      <c r="C305" t="s">
        <v>151</v>
      </c>
      <c r="D305" t="s">
        <v>82</v>
      </c>
      <c r="E305">
        <v>2022</v>
      </c>
      <c r="F305" s="4">
        <v>7161545</v>
      </c>
      <c r="G305" s="5">
        <v>1.46E-2</v>
      </c>
      <c r="H305" s="6">
        <v>104558.56</v>
      </c>
      <c r="I305" t="s">
        <v>1180</v>
      </c>
      <c r="J305" t="s">
        <v>1168</v>
      </c>
      <c r="K305" t="s">
        <v>1181</v>
      </c>
      <c r="L305" s="4">
        <v>6843981</v>
      </c>
      <c r="M305" s="7">
        <v>45441</v>
      </c>
    </row>
    <row r="306" spans="1:13">
      <c r="A306" t="s">
        <v>1182</v>
      </c>
      <c r="B306" t="s">
        <v>69</v>
      </c>
      <c r="C306" t="s">
        <v>70</v>
      </c>
      <c r="D306" t="s">
        <v>51</v>
      </c>
      <c r="E306">
        <v>2023</v>
      </c>
      <c r="F306" s="4">
        <v>572675</v>
      </c>
      <c r="G306" s="5">
        <v>1.26E-2</v>
      </c>
      <c r="H306" s="6">
        <v>7215.7</v>
      </c>
      <c r="I306" t="s">
        <v>1183</v>
      </c>
      <c r="J306" t="s">
        <v>1184</v>
      </c>
      <c r="K306" t="s">
        <v>229</v>
      </c>
      <c r="L306" s="4">
        <v>634883</v>
      </c>
      <c r="M306" s="7">
        <v>44497</v>
      </c>
    </row>
    <row r="307" spans="1:13">
      <c r="A307" t="s">
        <v>1185</v>
      </c>
      <c r="B307" t="s">
        <v>56</v>
      </c>
      <c r="C307" t="s">
        <v>57</v>
      </c>
      <c r="D307" t="s">
        <v>51</v>
      </c>
      <c r="E307">
        <v>2024</v>
      </c>
      <c r="F307" s="4">
        <v>546795</v>
      </c>
      <c r="G307" s="5">
        <v>1.24E-2</v>
      </c>
      <c r="H307" s="6">
        <v>6780.26</v>
      </c>
      <c r="I307" t="s">
        <v>1186</v>
      </c>
      <c r="J307" t="s">
        <v>1187</v>
      </c>
      <c r="K307" t="s">
        <v>688</v>
      </c>
      <c r="L307" s="4">
        <v>664979</v>
      </c>
      <c r="M307" s="7">
        <v>45499</v>
      </c>
    </row>
    <row r="308" spans="1:13">
      <c r="A308" t="s">
        <v>1188</v>
      </c>
      <c r="B308" t="s">
        <v>63</v>
      </c>
      <c r="C308" t="s">
        <v>102</v>
      </c>
      <c r="D308" t="s">
        <v>97</v>
      </c>
      <c r="E308">
        <v>2022</v>
      </c>
      <c r="F308" s="4">
        <v>2413074</v>
      </c>
      <c r="G308" s="5">
        <v>2.0500000000000001E-2</v>
      </c>
      <c r="H308" s="6">
        <v>49468.02</v>
      </c>
      <c r="I308" t="s">
        <v>1189</v>
      </c>
      <c r="J308" t="s">
        <v>1190</v>
      </c>
      <c r="K308" t="s">
        <v>1191</v>
      </c>
      <c r="L308" s="4">
        <v>2887660</v>
      </c>
      <c r="M308" s="7">
        <v>44670</v>
      </c>
    </row>
    <row r="309" spans="1:13">
      <c r="A309" t="s">
        <v>1192</v>
      </c>
      <c r="B309" t="s">
        <v>63</v>
      </c>
      <c r="C309" t="s">
        <v>64</v>
      </c>
      <c r="D309" t="s">
        <v>71</v>
      </c>
      <c r="E309">
        <v>2021</v>
      </c>
      <c r="F309" s="4">
        <v>758101</v>
      </c>
      <c r="G309" s="5">
        <v>1.6500000000000001E-2</v>
      </c>
      <c r="H309" s="6">
        <v>14024.87</v>
      </c>
      <c r="I309" t="s">
        <v>1193</v>
      </c>
      <c r="J309" t="s">
        <v>1194</v>
      </c>
      <c r="K309" t="s">
        <v>1195</v>
      </c>
      <c r="L309" s="4">
        <v>797762</v>
      </c>
      <c r="M309" s="7">
        <v>44331</v>
      </c>
    </row>
    <row r="310" spans="1:13">
      <c r="A310" t="s">
        <v>1196</v>
      </c>
      <c r="B310" t="s">
        <v>131</v>
      </c>
      <c r="C310" t="s">
        <v>132</v>
      </c>
      <c r="D310" t="s">
        <v>58</v>
      </c>
      <c r="E310">
        <v>2022</v>
      </c>
      <c r="F310" s="4">
        <v>971636</v>
      </c>
      <c r="G310" s="5">
        <v>7.7999999999999996E-3</v>
      </c>
      <c r="H310" s="6">
        <v>9522.0300000000007</v>
      </c>
      <c r="I310" t="s">
        <v>1197</v>
      </c>
      <c r="J310" t="s">
        <v>1198</v>
      </c>
      <c r="K310" t="s">
        <v>268</v>
      </c>
      <c r="L310" s="4">
        <v>921137</v>
      </c>
      <c r="M310" s="7">
        <v>45169</v>
      </c>
    </row>
    <row r="311" spans="1:13">
      <c r="A311" t="s">
        <v>1199</v>
      </c>
      <c r="B311" t="s">
        <v>101</v>
      </c>
      <c r="C311" t="s">
        <v>102</v>
      </c>
      <c r="D311" t="s">
        <v>82</v>
      </c>
      <c r="E311">
        <v>2024</v>
      </c>
      <c r="F311" s="4">
        <v>8516032</v>
      </c>
      <c r="G311" s="5">
        <v>1.52E-2</v>
      </c>
      <c r="H311" s="6">
        <v>129443.69</v>
      </c>
      <c r="I311" t="s">
        <v>1200</v>
      </c>
      <c r="J311" t="s">
        <v>1201</v>
      </c>
      <c r="K311" t="s">
        <v>260</v>
      </c>
      <c r="L311" s="4">
        <v>9842997</v>
      </c>
      <c r="M311" s="7">
        <v>45655</v>
      </c>
    </row>
    <row r="312" spans="1:13">
      <c r="A312" t="s">
        <v>1202</v>
      </c>
      <c r="B312" t="s">
        <v>56</v>
      </c>
      <c r="C312" t="s">
        <v>57</v>
      </c>
      <c r="D312" t="s">
        <v>71</v>
      </c>
      <c r="E312">
        <v>2024</v>
      </c>
      <c r="F312" s="4">
        <v>9285768</v>
      </c>
      <c r="G312" s="5">
        <v>1.84E-2</v>
      </c>
      <c r="H312" s="6">
        <v>170858.13</v>
      </c>
      <c r="I312" t="s">
        <v>1203</v>
      </c>
      <c r="J312" t="s">
        <v>1204</v>
      </c>
      <c r="K312" t="s">
        <v>866</v>
      </c>
      <c r="L312" s="4">
        <v>9868243</v>
      </c>
      <c r="M312" s="7">
        <v>44357</v>
      </c>
    </row>
    <row r="313" spans="1:13">
      <c r="A313" t="s">
        <v>1205</v>
      </c>
      <c r="B313" t="s">
        <v>56</v>
      </c>
      <c r="C313" t="s">
        <v>57</v>
      </c>
      <c r="D313" t="s">
        <v>82</v>
      </c>
      <c r="E313">
        <v>2021</v>
      </c>
      <c r="F313" s="4">
        <v>4576384</v>
      </c>
      <c r="G313" s="5">
        <v>1.47E-2</v>
      </c>
      <c r="H313" s="6">
        <v>67022.84</v>
      </c>
      <c r="I313" t="s">
        <v>1206</v>
      </c>
      <c r="J313" t="s">
        <v>1207</v>
      </c>
      <c r="K313" t="s">
        <v>1208</v>
      </c>
      <c r="L313" s="4">
        <v>4870331</v>
      </c>
      <c r="M313" s="7">
        <v>44823</v>
      </c>
    </row>
    <row r="314" spans="1:13">
      <c r="A314" t="s">
        <v>1209</v>
      </c>
      <c r="B314" t="s">
        <v>69</v>
      </c>
      <c r="C314" t="s">
        <v>70</v>
      </c>
      <c r="D314" t="s">
        <v>71</v>
      </c>
      <c r="E314">
        <v>2023</v>
      </c>
      <c r="F314" s="4">
        <v>3555676</v>
      </c>
      <c r="G314" s="5">
        <v>1.8599999999999998E-2</v>
      </c>
      <c r="H314" s="6">
        <v>66135.570000000007</v>
      </c>
      <c r="I314" t="s">
        <v>1210</v>
      </c>
      <c r="J314" t="s">
        <v>1211</v>
      </c>
      <c r="K314" t="s">
        <v>1078</v>
      </c>
      <c r="L314" s="4">
        <v>4117768</v>
      </c>
      <c r="M314" s="7">
        <v>43886</v>
      </c>
    </row>
    <row r="315" spans="1:13">
      <c r="A315" t="s">
        <v>1212</v>
      </c>
      <c r="B315" t="s">
        <v>137</v>
      </c>
      <c r="C315" t="s">
        <v>138</v>
      </c>
      <c r="D315" t="s">
        <v>58</v>
      </c>
      <c r="E315">
        <v>2021</v>
      </c>
      <c r="F315" s="4">
        <v>829506</v>
      </c>
      <c r="G315" s="5">
        <v>9.7000000000000003E-3</v>
      </c>
      <c r="H315" s="6">
        <v>8046.21</v>
      </c>
      <c r="I315" t="s">
        <v>1213</v>
      </c>
      <c r="J315" t="s">
        <v>1214</v>
      </c>
      <c r="K315" t="s">
        <v>280</v>
      </c>
      <c r="L315" s="4">
        <v>981093</v>
      </c>
      <c r="M315" s="7">
        <v>44536</v>
      </c>
    </row>
    <row r="316" spans="1:13">
      <c r="A316" t="s">
        <v>1215</v>
      </c>
      <c r="B316" t="s">
        <v>76</v>
      </c>
      <c r="C316" t="s">
        <v>77</v>
      </c>
      <c r="D316" t="s">
        <v>58</v>
      </c>
      <c r="E316">
        <v>2022</v>
      </c>
      <c r="F316" s="4">
        <v>2745910</v>
      </c>
      <c r="G316" s="5">
        <v>9.4000000000000004E-3</v>
      </c>
      <c r="H316" s="6">
        <v>25811.55</v>
      </c>
      <c r="I316" t="s">
        <v>1216</v>
      </c>
      <c r="J316" t="s">
        <v>1217</v>
      </c>
      <c r="K316" t="s">
        <v>233</v>
      </c>
      <c r="L316" s="4">
        <v>3026583</v>
      </c>
      <c r="M316" s="7">
        <v>44879</v>
      </c>
    </row>
    <row r="317" spans="1:13">
      <c r="A317" t="s">
        <v>1218</v>
      </c>
      <c r="B317" t="s">
        <v>63</v>
      </c>
      <c r="C317" t="s">
        <v>64</v>
      </c>
      <c r="D317" t="s">
        <v>71</v>
      </c>
      <c r="E317">
        <v>2021</v>
      </c>
      <c r="F317" s="4">
        <v>1847713</v>
      </c>
      <c r="G317" s="5">
        <v>1.8499999999999999E-2</v>
      </c>
      <c r="H317" s="6">
        <v>34182.69</v>
      </c>
      <c r="I317" t="s">
        <v>1219</v>
      </c>
      <c r="J317" t="s">
        <v>1220</v>
      </c>
      <c r="K317" t="s">
        <v>158</v>
      </c>
      <c r="L317" s="4">
        <v>1849704</v>
      </c>
      <c r="M317" s="7">
        <v>45304</v>
      </c>
    </row>
    <row r="318" spans="1:13">
      <c r="A318" t="s">
        <v>1221</v>
      </c>
      <c r="B318" t="s">
        <v>69</v>
      </c>
      <c r="C318" t="s">
        <v>70</v>
      </c>
      <c r="D318" t="s">
        <v>71</v>
      </c>
      <c r="E318">
        <v>2021</v>
      </c>
      <c r="F318" s="4">
        <v>2298787</v>
      </c>
      <c r="G318" s="5">
        <v>1.8599999999999998E-2</v>
      </c>
      <c r="H318" s="6">
        <v>42757.440000000002</v>
      </c>
      <c r="I318" t="s">
        <v>1222</v>
      </c>
      <c r="J318" t="s">
        <v>1223</v>
      </c>
      <c r="K318" t="s">
        <v>1224</v>
      </c>
      <c r="L318" s="4">
        <v>2690967</v>
      </c>
      <c r="M318" s="7">
        <v>44456</v>
      </c>
    </row>
    <row r="319" spans="1:13">
      <c r="A319" t="s">
        <v>1225</v>
      </c>
      <c r="B319" t="s">
        <v>87</v>
      </c>
      <c r="C319" t="s">
        <v>88</v>
      </c>
      <c r="D319" t="s">
        <v>97</v>
      </c>
      <c r="E319">
        <v>2023</v>
      </c>
      <c r="F319" s="4">
        <v>3246808</v>
      </c>
      <c r="G319" s="5">
        <v>2.0500000000000001E-2</v>
      </c>
      <c r="H319" s="6">
        <v>66459.56</v>
      </c>
      <c r="I319" t="s">
        <v>1226</v>
      </c>
      <c r="J319" t="s">
        <v>1227</v>
      </c>
      <c r="K319" t="s">
        <v>1228</v>
      </c>
      <c r="L319" s="4">
        <v>3746290</v>
      </c>
      <c r="M319" s="7">
        <v>44346</v>
      </c>
    </row>
    <row r="320" spans="1:13">
      <c r="A320" t="s">
        <v>1229</v>
      </c>
      <c r="B320" t="s">
        <v>76</v>
      </c>
      <c r="C320" t="s">
        <v>77</v>
      </c>
      <c r="D320" t="s">
        <v>51</v>
      </c>
      <c r="E320">
        <v>2021</v>
      </c>
      <c r="F320" s="4">
        <v>864083</v>
      </c>
      <c r="G320" s="5">
        <v>1.24E-2</v>
      </c>
      <c r="H320" s="6">
        <v>10714.63</v>
      </c>
      <c r="I320" t="s">
        <v>1230</v>
      </c>
      <c r="J320" t="s">
        <v>1231</v>
      </c>
      <c r="K320" t="s">
        <v>1232</v>
      </c>
      <c r="L320" s="4">
        <v>918896</v>
      </c>
      <c r="M320" s="7">
        <v>43776</v>
      </c>
    </row>
    <row r="321" spans="1:13">
      <c r="A321" t="s">
        <v>1233</v>
      </c>
      <c r="B321" t="s">
        <v>101</v>
      </c>
      <c r="C321" t="s">
        <v>102</v>
      </c>
      <c r="D321" t="s">
        <v>71</v>
      </c>
      <c r="E321">
        <v>2024</v>
      </c>
      <c r="F321" s="4">
        <v>6443352</v>
      </c>
      <c r="G321" s="5">
        <v>1.7899999999999999E-2</v>
      </c>
      <c r="H321" s="6">
        <v>121779.35</v>
      </c>
      <c r="I321" t="s">
        <v>1234</v>
      </c>
      <c r="J321" t="s">
        <v>1235</v>
      </c>
      <c r="K321" t="s">
        <v>1236</v>
      </c>
      <c r="L321" s="4">
        <v>6792589</v>
      </c>
      <c r="M321" s="7">
        <v>45204</v>
      </c>
    </row>
    <row r="322" spans="1:13">
      <c r="A322" t="s">
        <v>1237</v>
      </c>
      <c r="B322" t="s">
        <v>76</v>
      </c>
      <c r="C322" t="s">
        <v>77</v>
      </c>
      <c r="D322" t="s">
        <v>82</v>
      </c>
      <c r="E322">
        <v>2024</v>
      </c>
      <c r="F322" s="4">
        <v>3987046</v>
      </c>
      <c r="G322" s="5">
        <v>1.47E-2</v>
      </c>
      <c r="H322" s="6">
        <v>58609.58</v>
      </c>
      <c r="I322" t="s">
        <v>1238</v>
      </c>
      <c r="J322" t="s">
        <v>1239</v>
      </c>
      <c r="K322" t="s">
        <v>240</v>
      </c>
      <c r="L322" s="4">
        <v>4603606</v>
      </c>
      <c r="M322" s="7">
        <v>45110</v>
      </c>
    </row>
    <row r="323" spans="1:13">
      <c r="A323" t="s">
        <v>1240</v>
      </c>
      <c r="B323" t="s">
        <v>63</v>
      </c>
      <c r="C323" t="s">
        <v>64</v>
      </c>
      <c r="D323" t="s">
        <v>58</v>
      </c>
      <c r="E323">
        <v>2022</v>
      </c>
      <c r="F323" s="4">
        <v>2192695</v>
      </c>
      <c r="G323" s="5">
        <v>9.4999999999999998E-3</v>
      </c>
      <c r="H323" s="6">
        <v>20580.599999999999</v>
      </c>
      <c r="I323" t="s">
        <v>1241</v>
      </c>
      <c r="J323" t="s">
        <v>1242</v>
      </c>
      <c r="K323" t="s">
        <v>504</v>
      </c>
      <c r="L323" s="4">
        <v>2146750</v>
      </c>
      <c r="M323" s="7">
        <v>45040</v>
      </c>
    </row>
    <row r="324" spans="1:13">
      <c r="A324" t="s">
        <v>1243</v>
      </c>
      <c r="B324" t="s">
        <v>101</v>
      </c>
      <c r="C324" t="s">
        <v>102</v>
      </c>
      <c r="D324" t="s">
        <v>51</v>
      </c>
      <c r="E324">
        <v>2023</v>
      </c>
      <c r="F324" s="4">
        <v>658442</v>
      </c>
      <c r="G324" s="5">
        <v>1.29E-2</v>
      </c>
      <c r="H324" s="6">
        <v>8493.9</v>
      </c>
      <c r="I324" t="s">
        <v>1244</v>
      </c>
      <c r="J324" t="s">
        <v>1245</v>
      </c>
      <c r="K324" t="s">
        <v>1246</v>
      </c>
      <c r="L324" s="4">
        <v>639408</v>
      </c>
      <c r="M324" s="7">
        <v>44966</v>
      </c>
    </row>
    <row r="325" spans="1:13">
      <c r="A325" t="s">
        <v>1247</v>
      </c>
      <c r="B325" t="s">
        <v>63</v>
      </c>
      <c r="C325" t="s">
        <v>64</v>
      </c>
      <c r="D325" t="s">
        <v>58</v>
      </c>
      <c r="E325">
        <v>2022</v>
      </c>
      <c r="F325" s="4">
        <v>1220896</v>
      </c>
      <c r="G325" s="5">
        <v>9.4999999999999998E-3</v>
      </c>
      <c r="H325" s="6">
        <v>11598.51</v>
      </c>
      <c r="I325" t="s">
        <v>1248</v>
      </c>
      <c r="J325" t="s">
        <v>1249</v>
      </c>
      <c r="K325" t="s">
        <v>84</v>
      </c>
      <c r="L325" s="4">
        <v>1437555</v>
      </c>
      <c r="M325" s="7">
        <v>44726</v>
      </c>
    </row>
    <row r="326" spans="1:13">
      <c r="A326" t="s">
        <v>1250</v>
      </c>
      <c r="B326" t="s">
        <v>101</v>
      </c>
      <c r="C326" t="s">
        <v>102</v>
      </c>
      <c r="D326" t="s">
        <v>82</v>
      </c>
      <c r="E326">
        <v>2024</v>
      </c>
      <c r="F326" s="4">
        <v>15175095</v>
      </c>
      <c r="G326" s="5">
        <v>1.52E-2</v>
      </c>
      <c r="H326" s="6">
        <v>230661.44</v>
      </c>
      <c r="I326" t="s">
        <v>1251</v>
      </c>
      <c r="J326" t="s">
        <v>1252</v>
      </c>
      <c r="K326" t="s">
        <v>1253</v>
      </c>
      <c r="L326" s="4">
        <v>14448720</v>
      </c>
      <c r="M326" s="7">
        <v>45383</v>
      </c>
    </row>
    <row r="327" spans="1:13">
      <c r="A327" t="s">
        <v>1254</v>
      </c>
      <c r="B327" t="s">
        <v>76</v>
      </c>
      <c r="C327" t="s">
        <v>77</v>
      </c>
      <c r="D327" t="s">
        <v>51</v>
      </c>
      <c r="E327">
        <v>2021</v>
      </c>
      <c r="F327" s="4">
        <v>969836</v>
      </c>
      <c r="G327" s="5">
        <v>1.24E-2</v>
      </c>
      <c r="H327" s="6">
        <v>12025.97</v>
      </c>
      <c r="I327" t="s">
        <v>1255</v>
      </c>
      <c r="J327" t="s">
        <v>1256</v>
      </c>
      <c r="K327" t="s">
        <v>135</v>
      </c>
      <c r="L327" s="4">
        <v>1027701</v>
      </c>
      <c r="M327" s="7">
        <v>44165</v>
      </c>
    </row>
    <row r="328" spans="1:13">
      <c r="A328" t="s">
        <v>1257</v>
      </c>
      <c r="B328" t="s">
        <v>87</v>
      </c>
      <c r="C328" t="s">
        <v>88</v>
      </c>
      <c r="D328" t="s">
        <v>51</v>
      </c>
      <c r="E328">
        <v>2021</v>
      </c>
      <c r="F328" s="4">
        <v>488935</v>
      </c>
      <c r="G328" s="5">
        <v>1.2500000000000001E-2</v>
      </c>
      <c r="H328" s="6">
        <v>6111.69</v>
      </c>
      <c r="I328" t="s">
        <v>1258</v>
      </c>
      <c r="J328" t="s">
        <v>1259</v>
      </c>
      <c r="K328" t="s">
        <v>1260</v>
      </c>
      <c r="L328" s="4">
        <v>605127</v>
      </c>
      <c r="M328" s="7">
        <v>44339</v>
      </c>
    </row>
    <row r="329" spans="1:13">
      <c r="A329" t="s">
        <v>1261</v>
      </c>
      <c r="B329" t="s">
        <v>63</v>
      </c>
      <c r="C329" t="s">
        <v>64</v>
      </c>
      <c r="D329" t="s">
        <v>82</v>
      </c>
      <c r="E329">
        <v>2022</v>
      </c>
      <c r="F329" s="4">
        <v>45336710</v>
      </c>
      <c r="G329" s="5">
        <v>1.4800000000000001E-2</v>
      </c>
      <c r="H329" s="6">
        <v>670983.31000000006</v>
      </c>
      <c r="I329" t="s">
        <v>1262</v>
      </c>
      <c r="J329" t="s">
        <v>1263</v>
      </c>
      <c r="K329" t="s">
        <v>1264</v>
      </c>
      <c r="L329" s="4">
        <v>5162634</v>
      </c>
      <c r="M329" s="7">
        <v>45460</v>
      </c>
    </row>
    <row r="330" spans="1:13">
      <c r="A330" t="s">
        <v>1265</v>
      </c>
      <c r="B330" t="s">
        <v>49</v>
      </c>
      <c r="C330" t="s">
        <v>50</v>
      </c>
      <c r="D330" t="s">
        <v>51</v>
      </c>
      <c r="E330">
        <v>2021</v>
      </c>
      <c r="F330" s="4">
        <v>549510</v>
      </c>
      <c r="G330" s="5">
        <v>1.21E-2</v>
      </c>
      <c r="H330" s="6">
        <v>6649.07</v>
      </c>
      <c r="I330" t="s">
        <v>1266</v>
      </c>
      <c r="J330" t="s">
        <v>1267</v>
      </c>
      <c r="K330" t="s">
        <v>448</v>
      </c>
      <c r="L330" s="4">
        <v>611983</v>
      </c>
      <c r="M330" s="7">
        <v>43620</v>
      </c>
    </row>
    <row r="331" spans="1:13">
      <c r="A331" t="s">
        <v>1268</v>
      </c>
      <c r="B331" t="s">
        <v>87</v>
      </c>
      <c r="C331" t="s">
        <v>88</v>
      </c>
      <c r="D331" t="s">
        <v>97</v>
      </c>
      <c r="E331">
        <v>2024</v>
      </c>
      <c r="F331" s="4">
        <v>2979307</v>
      </c>
      <c r="G331" s="5">
        <v>2.0500000000000001E-2</v>
      </c>
      <c r="H331" s="6">
        <v>61075.79</v>
      </c>
      <c r="I331" t="s">
        <v>1269</v>
      </c>
      <c r="J331" t="s">
        <v>1270</v>
      </c>
      <c r="K331" t="s">
        <v>572</v>
      </c>
      <c r="L331" s="4">
        <v>2910028</v>
      </c>
      <c r="M331" s="7">
        <v>45479</v>
      </c>
    </row>
    <row r="332" spans="1:13">
      <c r="A332" t="s">
        <v>1271</v>
      </c>
      <c r="B332" t="s">
        <v>76</v>
      </c>
      <c r="C332" t="s">
        <v>77</v>
      </c>
      <c r="D332" t="s">
        <v>71</v>
      </c>
      <c r="E332">
        <v>2021</v>
      </c>
      <c r="F332" s="4">
        <v>2996212</v>
      </c>
      <c r="G332" s="5">
        <v>1.84E-2</v>
      </c>
      <c r="H332" s="6">
        <v>55130.3</v>
      </c>
      <c r="I332" t="s">
        <v>1272</v>
      </c>
      <c r="J332" t="s">
        <v>1273</v>
      </c>
      <c r="K332" t="s">
        <v>961</v>
      </c>
      <c r="L332" s="4">
        <v>2806095</v>
      </c>
      <c r="M332" s="7">
        <v>43680</v>
      </c>
    </row>
    <row r="333" spans="1:13">
      <c r="A333" t="s">
        <v>1274</v>
      </c>
      <c r="B333" t="s">
        <v>56</v>
      </c>
      <c r="C333" t="s">
        <v>57</v>
      </c>
      <c r="D333" t="s">
        <v>97</v>
      </c>
      <c r="E333">
        <v>2022</v>
      </c>
      <c r="F333" s="4">
        <v>3753842</v>
      </c>
      <c r="G333" s="5">
        <v>2.0400000000000001E-2</v>
      </c>
      <c r="H333" s="6">
        <v>76578.38</v>
      </c>
      <c r="I333" t="s">
        <v>1275</v>
      </c>
      <c r="J333" t="s">
        <v>1276</v>
      </c>
      <c r="K333" t="s">
        <v>61</v>
      </c>
      <c r="L333" s="4">
        <v>3677728</v>
      </c>
      <c r="M333" s="7">
        <v>44437</v>
      </c>
    </row>
    <row r="334" spans="1:13">
      <c r="A334" t="s">
        <v>1277</v>
      </c>
      <c r="B334" t="s">
        <v>69</v>
      </c>
      <c r="C334" t="s">
        <v>70</v>
      </c>
      <c r="D334" t="s">
        <v>97</v>
      </c>
      <c r="E334">
        <v>2024</v>
      </c>
      <c r="F334" s="4">
        <v>4401535</v>
      </c>
      <c r="G334" s="5">
        <v>2.06E-2</v>
      </c>
      <c r="H334" s="6">
        <v>90671.62</v>
      </c>
      <c r="I334" t="s">
        <v>1278</v>
      </c>
      <c r="J334" t="s">
        <v>1279</v>
      </c>
      <c r="K334" t="s">
        <v>1280</v>
      </c>
      <c r="L334" s="4">
        <v>4513803</v>
      </c>
      <c r="M334" s="7">
        <v>44749</v>
      </c>
    </row>
    <row r="335" spans="1:13">
      <c r="A335" t="s">
        <v>1281</v>
      </c>
      <c r="B335" t="s">
        <v>76</v>
      </c>
      <c r="C335" t="s">
        <v>77</v>
      </c>
      <c r="D335" t="s">
        <v>71</v>
      </c>
      <c r="E335">
        <v>2022</v>
      </c>
      <c r="F335" s="4">
        <v>1575338</v>
      </c>
      <c r="G335" s="5">
        <v>1.84E-2</v>
      </c>
      <c r="H335" s="6">
        <v>28986.22</v>
      </c>
      <c r="I335" t="s">
        <v>1282</v>
      </c>
      <c r="J335" t="s">
        <v>1283</v>
      </c>
      <c r="K335" t="s">
        <v>1284</v>
      </c>
      <c r="L335" s="4">
        <v>1952706</v>
      </c>
      <c r="M335" s="7">
        <v>44406</v>
      </c>
    </row>
    <row r="336" spans="1:13">
      <c r="A336" t="s">
        <v>1285</v>
      </c>
      <c r="B336" t="s">
        <v>49</v>
      </c>
      <c r="C336" t="s">
        <v>50</v>
      </c>
      <c r="D336" t="s">
        <v>58</v>
      </c>
      <c r="E336">
        <v>2024</v>
      </c>
      <c r="F336" s="4">
        <v>3046275</v>
      </c>
      <c r="G336" s="5">
        <v>9.1000000000000004E-3</v>
      </c>
      <c r="H336" s="6">
        <v>27721.1</v>
      </c>
      <c r="I336" t="s">
        <v>1286</v>
      </c>
      <c r="J336" t="s">
        <v>1287</v>
      </c>
      <c r="K336" t="s">
        <v>1288</v>
      </c>
      <c r="L336" s="4">
        <v>3353325</v>
      </c>
      <c r="M336" s="7">
        <v>44207</v>
      </c>
    </row>
    <row r="337" spans="1:13">
      <c r="A337" t="s">
        <v>1289</v>
      </c>
      <c r="B337" t="s">
        <v>69</v>
      </c>
      <c r="C337" t="s">
        <v>70</v>
      </c>
      <c r="D337" t="s">
        <v>51</v>
      </c>
      <c r="E337">
        <v>2021</v>
      </c>
      <c r="F337" s="4">
        <v>1403709</v>
      </c>
      <c r="G337" s="5">
        <v>1.26E-2</v>
      </c>
      <c r="H337" s="6">
        <v>17686.73</v>
      </c>
      <c r="I337" t="s">
        <v>1290</v>
      </c>
      <c r="J337" t="s">
        <v>1291</v>
      </c>
      <c r="K337" t="s">
        <v>1292</v>
      </c>
      <c r="L337" s="4">
        <v>1328539</v>
      </c>
      <c r="M337" s="7">
        <v>44677</v>
      </c>
    </row>
    <row r="338" spans="1:13">
      <c r="A338" t="s">
        <v>1293</v>
      </c>
      <c r="B338" t="s">
        <v>76</v>
      </c>
      <c r="C338" t="s">
        <v>77</v>
      </c>
      <c r="D338" t="s">
        <v>51</v>
      </c>
      <c r="E338">
        <v>2021</v>
      </c>
      <c r="F338" s="4">
        <v>756541</v>
      </c>
      <c r="G338" s="5">
        <v>1.24E-2</v>
      </c>
      <c r="H338" s="6">
        <v>9381.11</v>
      </c>
      <c r="I338" t="s">
        <v>1294</v>
      </c>
      <c r="J338" t="s">
        <v>1295</v>
      </c>
      <c r="K338" t="s">
        <v>1296</v>
      </c>
      <c r="L338" s="4">
        <v>867273</v>
      </c>
      <c r="M338" s="7">
        <v>43471</v>
      </c>
    </row>
    <row r="339" spans="1:13">
      <c r="A339" t="s">
        <v>1297</v>
      </c>
      <c r="B339" t="s">
        <v>49</v>
      </c>
      <c r="C339" t="s">
        <v>50</v>
      </c>
      <c r="D339" t="s">
        <v>58</v>
      </c>
      <c r="E339">
        <v>2023</v>
      </c>
      <c r="F339" s="4">
        <v>1817873</v>
      </c>
      <c r="G339" s="5">
        <v>9.1000000000000004E-3</v>
      </c>
      <c r="H339" s="6">
        <v>16542.64</v>
      </c>
      <c r="I339" t="s">
        <v>84</v>
      </c>
      <c r="J339" t="s">
        <v>1298</v>
      </c>
      <c r="K339" t="s">
        <v>170</v>
      </c>
      <c r="L339" s="4">
        <v>1868695</v>
      </c>
      <c r="M339" s="7">
        <v>45098</v>
      </c>
    </row>
    <row r="340" spans="1:13">
      <c r="A340" t="s">
        <v>1299</v>
      </c>
      <c r="B340" t="s">
        <v>63</v>
      </c>
      <c r="C340" t="s">
        <v>64</v>
      </c>
      <c r="D340" t="s">
        <v>71</v>
      </c>
      <c r="E340">
        <v>2023</v>
      </c>
      <c r="F340" s="4">
        <v>2879238</v>
      </c>
      <c r="G340" s="5">
        <v>1.8499999999999999E-2</v>
      </c>
      <c r="H340" s="6">
        <v>53265.9</v>
      </c>
      <c r="I340" t="s">
        <v>1300</v>
      </c>
      <c r="J340" t="s">
        <v>1301</v>
      </c>
      <c r="K340" t="s">
        <v>494</v>
      </c>
      <c r="L340" s="4">
        <v>3342092</v>
      </c>
      <c r="M340" s="7">
        <v>44292</v>
      </c>
    </row>
    <row r="341" spans="1:13">
      <c r="A341" t="s">
        <v>1302</v>
      </c>
      <c r="B341" t="s">
        <v>150</v>
      </c>
      <c r="C341" t="s">
        <v>151</v>
      </c>
      <c r="D341" t="s">
        <v>71</v>
      </c>
      <c r="E341">
        <v>2023</v>
      </c>
      <c r="F341" s="4">
        <v>4942928</v>
      </c>
      <c r="G341" s="5">
        <v>1.83E-2</v>
      </c>
      <c r="H341" s="6">
        <v>90455.58</v>
      </c>
      <c r="I341" t="s">
        <v>1303</v>
      </c>
      <c r="J341" t="s">
        <v>1304</v>
      </c>
      <c r="K341" t="s">
        <v>836</v>
      </c>
      <c r="L341" s="4">
        <v>4954260</v>
      </c>
      <c r="M341" s="7">
        <v>45102</v>
      </c>
    </row>
    <row r="342" spans="1:13">
      <c r="A342" t="s">
        <v>1305</v>
      </c>
      <c r="B342" t="s">
        <v>150</v>
      </c>
      <c r="C342" t="s">
        <v>151</v>
      </c>
      <c r="D342" t="s">
        <v>51</v>
      </c>
      <c r="E342">
        <v>2022</v>
      </c>
      <c r="F342" s="4">
        <v>1161101</v>
      </c>
      <c r="G342" s="5">
        <v>1.23E-2</v>
      </c>
      <c r="H342" s="6">
        <v>14281.54</v>
      </c>
      <c r="I342" t="s">
        <v>1306</v>
      </c>
      <c r="J342" t="s">
        <v>1307</v>
      </c>
      <c r="K342" t="s">
        <v>1141</v>
      </c>
      <c r="L342" s="4">
        <v>1400575</v>
      </c>
      <c r="M342" s="7">
        <v>45598</v>
      </c>
    </row>
    <row r="343" spans="1:13">
      <c r="A343" t="s">
        <v>1308</v>
      </c>
      <c r="B343" t="s">
        <v>63</v>
      </c>
      <c r="C343" t="s">
        <v>64</v>
      </c>
      <c r="D343" t="s">
        <v>71</v>
      </c>
      <c r="E343">
        <v>2024</v>
      </c>
      <c r="F343" s="4">
        <v>10252924</v>
      </c>
      <c r="G343" s="5">
        <v>1.8499999999999999E-2</v>
      </c>
      <c r="H343" s="6">
        <v>189679.09</v>
      </c>
      <c r="I343" t="s">
        <v>1309</v>
      </c>
      <c r="J343" t="s">
        <v>1310</v>
      </c>
      <c r="K343" t="s">
        <v>412</v>
      </c>
      <c r="L343" s="4">
        <v>10704997</v>
      </c>
      <c r="M343" s="7">
        <v>44899</v>
      </c>
    </row>
    <row r="344" spans="1:13">
      <c r="A344" t="s">
        <v>1311</v>
      </c>
      <c r="B344" t="s">
        <v>150</v>
      </c>
      <c r="C344" t="s">
        <v>151</v>
      </c>
      <c r="D344" t="s">
        <v>58</v>
      </c>
      <c r="E344">
        <v>2024</v>
      </c>
      <c r="F344" s="4">
        <v>1616946</v>
      </c>
      <c r="G344" s="5">
        <v>9.2999999999999992E-3</v>
      </c>
      <c r="H344" s="6">
        <v>14787.6</v>
      </c>
      <c r="I344" t="s">
        <v>1312</v>
      </c>
      <c r="J344" t="s">
        <v>1313</v>
      </c>
      <c r="K344" t="s">
        <v>1314</v>
      </c>
      <c r="L344" s="4">
        <v>1805353</v>
      </c>
      <c r="M344" s="7">
        <v>44526</v>
      </c>
    </row>
    <row r="345" spans="1:13">
      <c r="A345" t="s">
        <v>1315</v>
      </c>
      <c r="B345" t="s">
        <v>56</v>
      </c>
      <c r="C345" t="s">
        <v>57</v>
      </c>
      <c r="D345" t="s">
        <v>71</v>
      </c>
      <c r="E345">
        <v>2022</v>
      </c>
      <c r="F345" s="4">
        <v>10360499</v>
      </c>
      <c r="G345" s="5">
        <v>1.84E-2</v>
      </c>
      <c r="H345" s="6">
        <v>190633.18</v>
      </c>
      <c r="I345" t="s">
        <v>1316</v>
      </c>
      <c r="J345" t="s">
        <v>1317</v>
      </c>
      <c r="K345" t="s">
        <v>338</v>
      </c>
      <c r="L345" s="4">
        <v>10473743</v>
      </c>
      <c r="M345" s="7">
        <v>44874</v>
      </c>
    </row>
    <row r="346" spans="1:13">
      <c r="A346" t="s">
        <v>1318</v>
      </c>
      <c r="B346" t="s">
        <v>131</v>
      </c>
      <c r="C346" t="s">
        <v>132</v>
      </c>
      <c r="D346" t="s">
        <v>71</v>
      </c>
      <c r="E346">
        <v>2024</v>
      </c>
      <c r="F346" s="4">
        <v>5205842</v>
      </c>
      <c r="G346" s="5">
        <v>1.8800000000000001E-2</v>
      </c>
      <c r="H346" s="6">
        <v>97869.83</v>
      </c>
      <c r="I346" t="s">
        <v>1319</v>
      </c>
      <c r="J346" t="s">
        <v>1320</v>
      </c>
      <c r="K346" t="s">
        <v>572</v>
      </c>
      <c r="L346" s="4">
        <v>5288866</v>
      </c>
      <c r="M346" s="7">
        <v>45641</v>
      </c>
    </row>
    <row r="347" spans="1:13">
      <c r="A347" t="s">
        <v>1321</v>
      </c>
      <c r="B347" t="s">
        <v>137</v>
      </c>
      <c r="C347" t="s">
        <v>138</v>
      </c>
      <c r="D347" t="s">
        <v>58</v>
      </c>
      <c r="E347">
        <v>2023</v>
      </c>
      <c r="F347" s="4">
        <v>3817263</v>
      </c>
      <c r="G347" s="5">
        <v>9.7000000000000003E-3</v>
      </c>
      <c r="H347" s="6">
        <v>37027.449999999997</v>
      </c>
      <c r="I347" t="s">
        <v>1322</v>
      </c>
      <c r="J347" t="s">
        <v>1323</v>
      </c>
      <c r="K347" t="s">
        <v>620</v>
      </c>
      <c r="L347" s="4">
        <v>3468665</v>
      </c>
      <c r="M347" s="7">
        <v>45095</v>
      </c>
    </row>
    <row r="348" spans="1:13">
      <c r="A348" t="s">
        <v>1324</v>
      </c>
      <c r="B348" t="s">
        <v>76</v>
      </c>
      <c r="C348" t="s">
        <v>77</v>
      </c>
      <c r="D348" t="s">
        <v>58</v>
      </c>
      <c r="E348">
        <v>2023</v>
      </c>
      <c r="F348" s="4">
        <v>734643</v>
      </c>
      <c r="G348" s="5">
        <v>9.4000000000000004E-3</v>
      </c>
      <c r="H348" s="6">
        <v>6905.64</v>
      </c>
      <c r="I348" t="s">
        <v>1325</v>
      </c>
      <c r="J348" t="s">
        <v>1326</v>
      </c>
      <c r="K348" t="s">
        <v>504</v>
      </c>
      <c r="L348" s="4">
        <v>762595</v>
      </c>
      <c r="M348" s="7">
        <v>44835</v>
      </c>
    </row>
    <row r="349" spans="1:13">
      <c r="A349" t="s">
        <v>1327</v>
      </c>
      <c r="B349" t="s">
        <v>150</v>
      </c>
      <c r="C349" t="s">
        <v>151</v>
      </c>
      <c r="D349" t="s">
        <v>82</v>
      </c>
      <c r="E349">
        <v>2021</v>
      </c>
      <c r="F349" s="4">
        <v>13324813</v>
      </c>
      <c r="G349" s="5">
        <v>1.46E-2</v>
      </c>
      <c r="H349" s="6">
        <v>194542.27</v>
      </c>
      <c r="I349" t="s">
        <v>1328</v>
      </c>
      <c r="J349" t="s">
        <v>1329</v>
      </c>
      <c r="K349" t="s">
        <v>1253</v>
      </c>
      <c r="L349" s="4">
        <v>12400864</v>
      </c>
      <c r="M349" s="7">
        <v>45285</v>
      </c>
    </row>
    <row r="350" spans="1:13">
      <c r="A350" t="s">
        <v>1330</v>
      </c>
      <c r="B350" t="s">
        <v>69</v>
      </c>
      <c r="C350" t="s">
        <v>70</v>
      </c>
      <c r="D350" t="s">
        <v>58</v>
      </c>
      <c r="E350">
        <v>2023</v>
      </c>
      <c r="F350" s="4">
        <v>918127</v>
      </c>
      <c r="G350" s="5">
        <v>9.5999999999999992E-3</v>
      </c>
      <c r="H350" s="6">
        <v>8814.02</v>
      </c>
      <c r="I350" t="s">
        <v>1331</v>
      </c>
      <c r="J350" t="s">
        <v>1332</v>
      </c>
      <c r="K350" t="s">
        <v>229</v>
      </c>
      <c r="L350" s="4">
        <v>1069287</v>
      </c>
      <c r="M350" s="7">
        <v>44012</v>
      </c>
    </row>
    <row r="351" spans="1:13">
      <c r="A351" t="s">
        <v>1333</v>
      </c>
      <c r="B351" t="s">
        <v>63</v>
      </c>
      <c r="C351" t="s">
        <v>64</v>
      </c>
      <c r="D351" t="s">
        <v>58</v>
      </c>
      <c r="E351">
        <v>2023</v>
      </c>
      <c r="F351" s="4">
        <v>1503500</v>
      </c>
      <c r="G351" s="5">
        <v>9.4999999999999998E-3</v>
      </c>
      <c r="H351" s="6">
        <v>14283.25</v>
      </c>
      <c r="I351" t="s">
        <v>1334</v>
      </c>
      <c r="J351" t="s">
        <v>1335</v>
      </c>
      <c r="K351" t="s">
        <v>1031</v>
      </c>
      <c r="L351" s="4">
        <v>1367274</v>
      </c>
      <c r="M351" s="7">
        <v>43836</v>
      </c>
    </row>
    <row r="352" spans="1:13">
      <c r="A352" t="s">
        <v>1336</v>
      </c>
      <c r="B352" t="s">
        <v>131</v>
      </c>
      <c r="C352" t="s">
        <v>132</v>
      </c>
      <c r="D352" t="s">
        <v>71</v>
      </c>
      <c r="E352">
        <v>2023</v>
      </c>
      <c r="F352" s="4">
        <v>9899664</v>
      </c>
      <c r="G352" s="5">
        <v>1.8800000000000001E-2</v>
      </c>
      <c r="H352" s="6">
        <v>186113.68</v>
      </c>
      <c r="I352" t="s">
        <v>1337</v>
      </c>
      <c r="J352" t="s">
        <v>1338</v>
      </c>
      <c r="K352" t="s">
        <v>1339</v>
      </c>
      <c r="L352" s="4">
        <v>12354944</v>
      </c>
      <c r="M352" s="7">
        <v>43967</v>
      </c>
    </row>
    <row r="353" spans="1:13">
      <c r="A353" t="s">
        <v>1340</v>
      </c>
      <c r="B353" t="s">
        <v>87</v>
      </c>
      <c r="C353" t="s">
        <v>88</v>
      </c>
      <c r="D353" t="s">
        <v>71</v>
      </c>
      <c r="E353">
        <v>2024</v>
      </c>
      <c r="F353" s="4">
        <v>5398367</v>
      </c>
      <c r="G353" s="5">
        <v>1.8499999999999999E-2</v>
      </c>
      <c r="H353" s="6">
        <v>99869.79</v>
      </c>
      <c r="I353" t="s">
        <v>1341</v>
      </c>
      <c r="J353" t="s">
        <v>1342</v>
      </c>
      <c r="K353" t="s">
        <v>369</v>
      </c>
      <c r="L353" s="4">
        <v>5167091</v>
      </c>
      <c r="M353" s="7">
        <v>44755</v>
      </c>
    </row>
    <row r="354" spans="1:13">
      <c r="A354" t="s">
        <v>1343</v>
      </c>
      <c r="B354" t="s">
        <v>150</v>
      </c>
      <c r="C354" t="s">
        <v>151</v>
      </c>
      <c r="D354" t="s">
        <v>58</v>
      </c>
      <c r="E354">
        <v>2023</v>
      </c>
      <c r="F354" s="4">
        <v>582548</v>
      </c>
      <c r="G354" s="5">
        <v>9.2999999999999992E-3</v>
      </c>
      <c r="H354" s="6">
        <v>5417.7</v>
      </c>
      <c r="I354" t="s">
        <v>1344</v>
      </c>
      <c r="J354" t="s">
        <v>1345</v>
      </c>
      <c r="K354" t="s">
        <v>99</v>
      </c>
      <c r="L354" s="4" t="s">
        <v>84</v>
      </c>
      <c r="M354" s="7">
        <v>45260</v>
      </c>
    </row>
    <row r="355" spans="1:13">
      <c r="A355" t="s">
        <v>1346</v>
      </c>
      <c r="B355" t="s">
        <v>150</v>
      </c>
      <c r="C355" t="s">
        <v>151</v>
      </c>
      <c r="D355" t="s">
        <v>51</v>
      </c>
      <c r="E355">
        <v>2023</v>
      </c>
      <c r="F355" s="4">
        <v>1066724</v>
      </c>
      <c r="G355" s="5">
        <v>1.23E-2</v>
      </c>
      <c r="H355" s="6">
        <v>13120.71</v>
      </c>
      <c r="I355" t="s">
        <v>1347</v>
      </c>
      <c r="J355" t="s">
        <v>1348</v>
      </c>
      <c r="K355" t="s">
        <v>1349</v>
      </c>
      <c r="L355" s="4">
        <v>1030398</v>
      </c>
      <c r="M355" s="7">
        <v>45668</v>
      </c>
    </row>
    <row r="356" spans="1:13">
      <c r="A356" t="s">
        <v>1350</v>
      </c>
      <c r="B356" t="s">
        <v>56</v>
      </c>
      <c r="C356" t="s">
        <v>57</v>
      </c>
      <c r="D356" t="s">
        <v>82</v>
      </c>
      <c r="E356">
        <v>2021</v>
      </c>
      <c r="F356" s="4">
        <v>6205817</v>
      </c>
      <c r="G356" s="5">
        <v>1.47E-2</v>
      </c>
      <c r="H356" s="6">
        <v>91225.51</v>
      </c>
      <c r="I356" t="s">
        <v>1351</v>
      </c>
      <c r="J356" t="s">
        <v>1352</v>
      </c>
      <c r="K356" t="s">
        <v>580</v>
      </c>
      <c r="L356" s="4">
        <v>7202230</v>
      </c>
      <c r="M356" s="7">
        <v>43951</v>
      </c>
    </row>
    <row r="357" spans="1:13">
      <c r="A357" t="s">
        <v>1353</v>
      </c>
      <c r="B357" t="s">
        <v>76</v>
      </c>
      <c r="C357" t="s">
        <v>77</v>
      </c>
      <c r="D357" t="s">
        <v>97</v>
      </c>
      <c r="E357">
        <v>2022</v>
      </c>
      <c r="F357" s="4">
        <v>3291286</v>
      </c>
      <c r="G357" s="5">
        <v>2.0400000000000001E-2</v>
      </c>
      <c r="H357" s="6">
        <v>67142.23</v>
      </c>
      <c r="I357" t="s">
        <v>1354</v>
      </c>
      <c r="J357" t="s">
        <v>1355</v>
      </c>
      <c r="K357" t="s">
        <v>642</v>
      </c>
      <c r="L357" s="4">
        <v>3875717</v>
      </c>
      <c r="M357" s="7">
        <v>45569</v>
      </c>
    </row>
    <row r="358" spans="1:13">
      <c r="A358" t="s">
        <v>1356</v>
      </c>
      <c r="B358" t="s">
        <v>87</v>
      </c>
      <c r="C358" t="s">
        <v>88</v>
      </c>
      <c r="D358" t="s">
        <v>51</v>
      </c>
      <c r="E358">
        <v>2024</v>
      </c>
      <c r="F358" s="4">
        <v>493846</v>
      </c>
      <c r="G358" s="5">
        <v>1.2500000000000001E-2</v>
      </c>
      <c r="H358" s="6">
        <v>6173.08</v>
      </c>
      <c r="I358" t="s">
        <v>1357</v>
      </c>
      <c r="J358" t="s">
        <v>1358</v>
      </c>
      <c r="K358" t="s">
        <v>154</v>
      </c>
      <c r="L358" s="4">
        <v>469620</v>
      </c>
      <c r="M358" s="7">
        <v>45725</v>
      </c>
    </row>
    <row r="359" spans="1:13">
      <c r="A359" t="s">
        <v>1359</v>
      </c>
      <c r="B359" t="s">
        <v>137</v>
      </c>
      <c r="C359" t="s">
        <v>138</v>
      </c>
      <c r="D359" t="s">
        <v>82</v>
      </c>
      <c r="E359">
        <v>2023</v>
      </c>
      <c r="F359" s="4">
        <v>5563964</v>
      </c>
      <c r="G359" s="5">
        <v>1.4999999999999999E-2</v>
      </c>
      <c r="H359" s="6">
        <v>83459.460000000006</v>
      </c>
      <c r="I359" t="s">
        <v>1360</v>
      </c>
      <c r="J359" t="s">
        <v>1361</v>
      </c>
      <c r="K359" t="s">
        <v>1362</v>
      </c>
      <c r="L359" s="4">
        <v>5015998</v>
      </c>
      <c r="M359" s="7">
        <v>45316</v>
      </c>
    </row>
    <row r="360" spans="1:13">
      <c r="A360" t="s">
        <v>1363</v>
      </c>
      <c r="B360" t="s">
        <v>49</v>
      </c>
      <c r="C360" t="s">
        <v>50</v>
      </c>
      <c r="D360" t="s">
        <v>97</v>
      </c>
      <c r="E360">
        <v>2024</v>
      </c>
      <c r="F360" s="4">
        <v>2139846</v>
      </c>
      <c r="G360" s="5">
        <v>2.01E-2</v>
      </c>
      <c r="H360" s="6">
        <v>43010.9</v>
      </c>
      <c r="I360" t="s">
        <v>1364</v>
      </c>
      <c r="J360" t="s">
        <v>1365</v>
      </c>
      <c r="K360" t="s">
        <v>198</v>
      </c>
      <c r="L360" s="4">
        <v>2663283</v>
      </c>
      <c r="M360" s="7">
        <v>44450</v>
      </c>
    </row>
    <row r="361" spans="1:13">
      <c r="A361" t="s">
        <v>1366</v>
      </c>
      <c r="B361" t="s">
        <v>101</v>
      </c>
      <c r="C361" t="s">
        <v>102</v>
      </c>
      <c r="D361" t="s">
        <v>51</v>
      </c>
      <c r="E361">
        <v>2022</v>
      </c>
      <c r="F361" s="4">
        <v>768088</v>
      </c>
      <c r="G361" s="5">
        <v>1.29E-2</v>
      </c>
      <c r="H361" s="6">
        <v>9908.34</v>
      </c>
      <c r="I361" t="s">
        <v>1367</v>
      </c>
      <c r="J361" t="s">
        <v>1368</v>
      </c>
      <c r="K361" t="s">
        <v>1246</v>
      </c>
      <c r="L361" s="4">
        <v>953706</v>
      </c>
      <c r="M361" s="7">
        <v>45284</v>
      </c>
    </row>
    <row r="362" spans="1:13">
      <c r="A362" t="s">
        <v>1369</v>
      </c>
      <c r="B362" t="s">
        <v>76</v>
      </c>
      <c r="C362" t="s">
        <v>77</v>
      </c>
      <c r="D362" t="s">
        <v>82</v>
      </c>
      <c r="E362">
        <v>2024</v>
      </c>
      <c r="F362" s="4">
        <v>4985980</v>
      </c>
      <c r="G362" s="5">
        <v>1.47E-2</v>
      </c>
      <c r="H362" s="6">
        <v>73293.91</v>
      </c>
      <c r="I362" t="s">
        <v>1370</v>
      </c>
      <c r="J362" t="s">
        <v>1371</v>
      </c>
      <c r="K362" t="s">
        <v>95</v>
      </c>
      <c r="L362" s="4">
        <v>4737572</v>
      </c>
      <c r="M362" s="7">
        <v>45017</v>
      </c>
    </row>
    <row r="363" spans="1:13">
      <c r="A363" t="s">
        <v>1372</v>
      </c>
      <c r="B363" t="s">
        <v>87</v>
      </c>
      <c r="C363" t="s">
        <v>88</v>
      </c>
      <c r="D363" t="s">
        <v>51</v>
      </c>
      <c r="E363">
        <v>2022</v>
      </c>
      <c r="F363" s="4">
        <v>429876</v>
      </c>
      <c r="G363" s="5">
        <v>1.2500000000000001E-2</v>
      </c>
      <c r="H363" s="6">
        <v>5373.45</v>
      </c>
      <c r="I363" t="s">
        <v>1373</v>
      </c>
      <c r="J363" t="s">
        <v>1374</v>
      </c>
      <c r="K363" t="s">
        <v>178</v>
      </c>
      <c r="L363" s="4">
        <v>505673</v>
      </c>
      <c r="M363" s="7">
        <v>45105</v>
      </c>
    </row>
    <row r="364" spans="1:13">
      <c r="A364" t="s">
        <v>1375</v>
      </c>
      <c r="B364" t="s">
        <v>150</v>
      </c>
      <c r="C364" t="s">
        <v>151</v>
      </c>
      <c r="D364" t="s">
        <v>58</v>
      </c>
      <c r="E364">
        <v>2024</v>
      </c>
      <c r="F364" s="4">
        <v>4062571</v>
      </c>
      <c r="G364" s="5">
        <v>9.2999999999999992E-3</v>
      </c>
      <c r="H364" s="6">
        <v>37861.910000000003</v>
      </c>
      <c r="I364" t="s">
        <v>1376</v>
      </c>
      <c r="J364" t="s">
        <v>1377</v>
      </c>
      <c r="K364" t="s">
        <v>291</v>
      </c>
      <c r="L364" s="4">
        <v>5038504</v>
      </c>
      <c r="M364" s="7">
        <v>44980</v>
      </c>
    </row>
    <row r="365" spans="1:13">
      <c r="A365" t="s">
        <v>1378</v>
      </c>
      <c r="B365" t="s">
        <v>87</v>
      </c>
      <c r="C365" t="s">
        <v>88</v>
      </c>
      <c r="D365" t="s">
        <v>71</v>
      </c>
      <c r="E365">
        <v>2022</v>
      </c>
      <c r="F365" s="4">
        <v>3636516</v>
      </c>
      <c r="G365" s="5">
        <v>1.8499999999999999E-2</v>
      </c>
      <c r="H365" s="6">
        <v>67275.55</v>
      </c>
      <c r="I365" t="s">
        <v>1379</v>
      </c>
      <c r="J365" t="s">
        <v>1380</v>
      </c>
      <c r="K365" t="s">
        <v>217</v>
      </c>
      <c r="L365" s="4">
        <v>4303157</v>
      </c>
      <c r="M365" s="7">
        <v>45680</v>
      </c>
    </row>
    <row r="366" spans="1:13">
      <c r="A366" t="s">
        <v>1381</v>
      </c>
      <c r="B366" t="s">
        <v>56</v>
      </c>
      <c r="C366" t="s">
        <v>57</v>
      </c>
      <c r="D366" t="s">
        <v>51</v>
      </c>
      <c r="E366">
        <v>2021</v>
      </c>
      <c r="F366" s="4">
        <v>1400657</v>
      </c>
      <c r="G366" s="5">
        <v>1.24E-2</v>
      </c>
      <c r="H366" s="6">
        <v>17368.150000000001</v>
      </c>
      <c r="I366" t="s">
        <v>1382</v>
      </c>
      <c r="J366" t="s">
        <v>1383</v>
      </c>
      <c r="K366" t="s">
        <v>1101</v>
      </c>
      <c r="L366" s="4">
        <v>1606723</v>
      </c>
      <c r="M366" s="7">
        <v>46748</v>
      </c>
    </row>
    <row r="367" spans="1:13">
      <c r="A367" t="s">
        <v>1384</v>
      </c>
      <c r="B367" t="s">
        <v>69</v>
      </c>
      <c r="C367" t="s">
        <v>70</v>
      </c>
      <c r="D367" t="s">
        <v>97</v>
      </c>
      <c r="E367">
        <v>2023</v>
      </c>
      <c r="F367" s="4">
        <v>3414233</v>
      </c>
      <c r="G367" s="5">
        <v>2.06E-2</v>
      </c>
      <c r="H367" s="6">
        <v>70333.2</v>
      </c>
      <c r="I367" t="s">
        <v>1385</v>
      </c>
      <c r="J367" t="s">
        <v>1386</v>
      </c>
      <c r="K367" t="s">
        <v>1387</v>
      </c>
      <c r="L367" s="4">
        <v>3663956</v>
      </c>
      <c r="M367" s="7">
        <v>44604</v>
      </c>
    </row>
    <row r="368" spans="1:13">
      <c r="A368" t="s">
        <v>1388</v>
      </c>
      <c r="B368" t="s">
        <v>87</v>
      </c>
      <c r="C368" t="s">
        <v>88</v>
      </c>
      <c r="D368" t="s">
        <v>71</v>
      </c>
      <c r="E368">
        <v>2023</v>
      </c>
      <c r="F368" s="4">
        <v>3743538</v>
      </c>
      <c r="G368" s="5">
        <v>1.8499999999999999E-2</v>
      </c>
      <c r="H368" s="6">
        <v>69255.45</v>
      </c>
      <c r="I368" t="s">
        <v>1389</v>
      </c>
      <c r="J368" t="s">
        <v>550</v>
      </c>
      <c r="K368" t="s">
        <v>1390</v>
      </c>
      <c r="L368" s="4">
        <v>3829431</v>
      </c>
      <c r="M368" s="7">
        <v>45185</v>
      </c>
    </row>
    <row r="369" spans="1:13">
      <c r="A369" t="s">
        <v>1391</v>
      </c>
      <c r="B369" t="s">
        <v>76</v>
      </c>
      <c r="C369" t="s">
        <v>77</v>
      </c>
      <c r="D369" t="s">
        <v>97</v>
      </c>
      <c r="E369">
        <v>2022</v>
      </c>
      <c r="F369" s="4">
        <v>3123006</v>
      </c>
      <c r="G369" s="5">
        <v>2.0400000000000001E-2</v>
      </c>
      <c r="H369" s="6">
        <v>63709.32</v>
      </c>
      <c r="I369" t="s">
        <v>1392</v>
      </c>
      <c r="J369" t="s">
        <v>1393</v>
      </c>
      <c r="K369" t="s">
        <v>1027</v>
      </c>
      <c r="L369" s="4">
        <v>2833006</v>
      </c>
      <c r="M369" s="7">
        <v>46729</v>
      </c>
    </row>
    <row r="370" spans="1:13">
      <c r="A370" t="s">
        <v>1394</v>
      </c>
      <c r="B370" t="s">
        <v>87</v>
      </c>
      <c r="C370" t="s">
        <v>88</v>
      </c>
      <c r="D370" t="s">
        <v>51</v>
      </c>
      <c r="E370">
        <v>2023</v>
      </c>
      <c r="F370" s="4">
        <v>686886</v>
      </c>
      <c r="G370" s="5">
        <v>1.2500000000000001E-2</v>
      </c>
      <c r="H370" s="6">
        <v>8586.08</v>
      </c>
      <c r="I370" t="s">
        <v>1395</v>
      </c>
      <c r="J370" t="s">
        <v>1396</v>
      </c>
      <c r="K370" t="s">
        <v>1397</v>
      </c>
      <c r="L370" s="4">
        <v>851258</v>
      </c>
      <c r="M370" s="7">
        <v>46510</v>
      </c>
    </row>
    <row r="371" spans="1:13">
      <c r="A371" t="s">
        <v>1398</v>
      </c>
      <c r="B371" t="s">
        <v>101</v>
      </c>
      <c r="C371" t="s">
        <v>102</v>
      </c>
      <c r="D371" t="s">
        <v>51</v>
      </c>
      <c r="E371">
        <v>2022</v>
      </c>
      <c r="F371" s="4">
        <v>629049</v>
      </c>
      <c r="G371" s="5">
        <v>1.29E-2</v>
      </c>
      <c r="H371" s="6">
        <v>8114.73</v>
      </c>
      <c r="I371" t="s">
        <v>1399</v>
      </c>
      <c r="J371" t="s">
        <v>1400</v>
      </c>
      <c r="K371" t="s">
        <v>1401</v>
      </c>
      <c r="L371" s="4">
        <v>660179</v>
      </c>
      <c r="M371" s="7">
        <v>44888</v>
      </c>
    </row>
    <row r="372" spans="1:13">
      <c r="A372" t="s">
        <v>1402</v>
      </c>
      <c r="B372" t="s">
        <v>49</v>
      </c>
      <c r="C372" t="s">
        <v>50</v>
      </c>
      <c r="D372" t="s">
        <v>71</v>
      </c>
      <c r="E372">
        <v>2023</v>
      </c>
      <c r="F372" s="4">
        <v>4457426</v>
      </c>
      <c r="G372" s="5">
        <v>1.8100000000000002E-2</v>
      </c>
      <c r="H372" s="6">
        <v>80679.41</v>
      </c>
      <c r="I372" t="s">
        <v>1403</v>
      </c>
      <c r="J372" t="s">
        <v>1404</v>
      </c>
      <c r="K372" t="s">
        <v>973</v>
      </c>
      <c r="L372" s="4">
        <v>4343911</v>
      </c>
      <c r="M372" s="7">
        <v>45518</v>
      </c>
    </row>
    <row r="373" spans="1:13">
      <c r="A373" t="s">
        <v>1405</v>
      </c>
      <c r="B373" t="s">
        <v>101</v>
      </c>
      <c r="C373" t="s">
        <v>102</v>
      </c>
      <c r="D373" t="s">
        <v>71</v>
      </c>
      <c r="E373">
        <v>2024</v>
      </c>
      <c r="F373" s="4">
        <v>9439273</v>
      </c>
      <c r="G373" s="5">
        <v>1.89E-2</v>
      </c>
      <c r="H373" s="6">
        <v>178402.26</v>
      </c>
      <c r="I373" t="s">
        <v>1406</v>
      </c>
      <c r="J373" t="s">
        <v>1407</v>
      </c>
      <c r="K373" t="s">
        <v>631</v>
      </c>
      <c r="L373" s="4">
        <v>9167850</v>
      </c>
      <c r="M373" s="7">
        <v>45041</v>
      </c>
    </row>
    <row r="374" spans="1:13">
      <c r="A374" t="s">
        <v>1408</v>
      </c>
      <c r="B374" t="s">
        <v>137</v>
      </c>
      <c r="C374" t="s">
        <v>138</v>
      </c>
      <c r="D374" t="s">
        <v>71</v>
      </c>
      <c r="E374">
        <v>2022</v>
      </c>
      <c r="F374" s="4">
        <v>30046366</v>
      </c>
      <c r="G374" s="5">
        <v>1.8700000000000001E-2</v>
      </c>
      <c r="H374" s="6">
        <v>62892.959999999999</v>
      </c>
      <c r="I374" t="s">
        <v>1409</v>
      </c>
      <c r="J374" t="s">
        <v>1410</v>
      </c>
      <c r="K374" t="s">
        <v>1411</v>
      </c>
      <c r="L374" s="4">
        <v>3214521</v>
      </c>
      <c r="M374" s="7">
        <v>44024</v>
      </c>
    </row>
    <row r="375" spans="1:13">
      <c r="A375" t="s">
        <v>1412</v>
      </c>
      <c r="B375" t="s">
        <v>63</v>
      </c>
      <c r="C375" t="s">
        <v>64</v>
      </c>
      <c r="D375" t="s">
        <v>71</v>
      </c>
      <c r="E375">
        <v>2023</v>
      </c>
      <c r="F375" s="4">
        <v>6148320</v>
      </c>
      <c r="G375" s="5">
        <v>1.8499999999999999E-2</v>
      </c>
      <c r="H375" s="6">
        <v>113743.92</v>
      </c>
      <c r="I375" t="s">
        <v>1413</v>
      </c>
      <c r="J375" t="s">
        <v>1414</v>
      </c>
      <c r="K375" t="s">
        <v>710</v>
      </c>
      <c r="L375" s="4">
        <v>6978867</v>
      </c>
      <c r="M375" s="7">
        <v>45644</v>
      </c>
    </row>
    <row r="376" spans="1:13">
      <c r="A376" t="s">
        <v>1415</v>
      </c>
      <c r="B376" t="s">
        <v>49</v>
      </c>
      <c r="C376" t="s">
        <v>50</v>
      </c>
      <c r="D376" t="s">
        <v>58</v>
      </c>
      <c r="E376">
        <v>2022</v>
      </c>
      <c r="F376" s="4">
        <v>1077125</v>
      </c>
      <c r="G376" s="5">
        <v>9.1000000000000004E-3</v>
      </c>
      <c r="H376" s="6">
        <v>9801.84</v>
      </c>
      <c r="I376" t="s">
        <v>1416</v>
      </c>
      <c r="J376" t="s">
        <v>1417</v>
      </c>
      <c r="K376" t="s">
        <v>1418</v>
      </c>
      <c r="L376" s="4">
        <v>1283197</v>
      </c>
      <c r="M376" s="7">
        <v>45063</v>
      </c>
    </row>
    <row r="377" spans="1:13">
      <c r="A377" t="s">
        <v>1419</v>
      </c>
      <c r="B377" t="s">
        <v>76</v>
      </c>
      <c r="C377" t="s">
        <v>77</v>
      </c>
      <c r="D377" t="s">
        <v>58</v>
      </c>
      <c r="E377">
        <v>2022</v>
      </c>
      <c r="F377" s="4">
        <v>872767</v>
      </c>
      <c r="G377" s="5">
        <v>9.4000000000000004E-3</v>
      </c>
      <c r="H377" s="6">
        <v>8204.01</v>
      </c>
      <c r="I377" t="s">
        <v>1420</v>
      </c>
      <c r="J377" t="s">
        <v>1421</v>
      </c>
      <c r="K377" t="s">
        <v>1422</v>
      </c>
      <c r="L377" s="4">
        <v>860741</v>
      </c>
      <c r="M377" s="7">
        <v>44603</v>
      </c>
    </row>
    <row r="378" spans="1:13">
      <c r="A378" t="s">
        <v>1423</v>
      </c>
      <c r="B378" t="s">
        <v>131</v>
      </c>
      <c r="C378" t="s">
        <v>132</v>
      </c>
      <c r="D378" t="s">
        <v>71</v>
      </c>
      <c r="E378">
        <v>2024</v>
      </c>
      <c r="F378" s="4">
        <v>6659226</v>
      </c>
      <c r="G378" s="5">
        <v>1.8800000000000001E-2</v>
      </c>
      <c r="H378" s="6">
        <v>125193.45</v>
      </c>
      <c r="I378" t="s">
        <v>1424</v>
      </c>
      <c r="J378" t="s">
        <v>1425</v>
      </c>
      <c r="K378" t="s">
        <v>1426</v>
      </c>
      <c r="L378" s="4">
        <v>7886439</v>
      </c>
      <c r="M378" s="7">
        <v>44446</v>
      </c>
    </row>
    <row r="379" spans="1:13">
      <c r="A379" t="s">
        <v>1427</v>
      </c>
      <c r="B379" t="s">
        <v>56</v>
      </c>
      <c r="C379" t="s">
        <v>57</v>
      </c>
      <c r="D379" t="s">
        <v>97</v>
      </c>
      <c r="E379">
        <v>2024</v>
      </c>
      <c r="F379" s="4">
        <v>2207486</v>
      </c>
      <c r="G379" s="5">
        <v>2.0400000000000001E-2</v>
      </c>
      <c r="H379" s="6">
        <v>45032.71</v>
      </c>
      <c r="I379" t="s">
        <v>1428</v>
      </c>
      <c r="J379" t="s">
        <v>1429</v>
      </c>
      <c r="K379" t="s">
        <v>965</v>
      </c>
      <c r="L379" s="4">
        <v>2596580</v>
      </c>
      <c r="M379" s="7">
        <v>44758</v>
      </c>
    </row>
    <row r="380" spans="1:13">
      <c r="A380" t="s">
        <v>1430</v>
      </c>
      <c r="B380" t="s">
        <v>49</v>
      </c>
      <c r="C380" t="s">
        <v>50</v>
      </c>
      <c r="D380" t="s">
        <v>58</v>
      </c>
      <c r="E380">
        <v>2024</v>
      </c>
      <c r="F380" s="4">
        <v>2491454</v>
      </c>
      <c r="G380" s="5">
        <v>9.1000000000000004E-3</v>
      </c>
      <c r="H380" s="6">
        <v>22672.23</v>
      </c>
      <c r="I380" t="s">
        <v>1431</v>
      </c>
      <c r="J380" t="s">
        <v>1432</v>
      </c>
      <c r="K380" t="s">
        <v>1105</v>
      </c>
      <c r="L380" s="4">
        <v>2527254</v>
      </c>
      <c r="M380" s="7">
        <v>45620</v>
      </c>
    </row>
    <row r="381" spans="1:13">
      <c r="A381" t="s">
        <v>1433</v>
      </c>
      <c r="B381" t="s">
        <v>63</v>
      </c>
      <c r="C381" t="s">
        <v>64</v>
      </c>
      <c r="D381" t="s">
        <v>51</v>
      </c>
      <c r="E381">
        <v>2022</v>
      </c>
      <c r="F381" s="4">
        <v>873136</v>
      </c>
      <c r="G381" s="5">
        <v>1.2500000000000001E-2</v>
      </c>
      <c r="H381" s="6">
        <v>10914.2</v>
      </c>
      <c r="I381" t="s">
        <v>1434</v>
      </c>
      <c r="J381" t="s">
        <v>1435</v>
      </c>
      <c r="K381" t="s">
        <v>80</v>
      </c>
      <c r="L381" s="4">
        <v>1028052</v>
      </c>
      <c r="M381" s="7">
        <v>44774</v>
      </c>
    </row>
    <row r="382" spans="1:13">
      <c r="A382" t="s">
        <v>1436</v>
      </c>
      <c r="B382" t="s">
        <v>101</v>
      </c>
      <c r="C382" t="s">
        <v>102</v>
      </c>
      <c r="D382" t="s">
        <v>58</v>
      </c>
      <c r="E382">
        <v>2022</v>
      </c>
      <c r="F382" s="4">
        <v>1132774</v>
      </c>
      <c r="G382" s="5">
        <v>9.9000000000000008E-3</v>
      </c>
      <c r="H382" s="6">
        <v>11214.46</v>
      </c>
      <c r="I382" t="s">
        <v>1437</v>
      </c>
      <c r="J382" t="s">
        <v>1438</v>
      </c>
      <c r="K382" t="s">
        <v>688</v>
      </c>
      <c r="L382" s="4">
        <v>1276056</v>
      </c>
      <c r="M382" s="7">
        <v>44402</v>
      </c>
    </row>
    <row r="383" spans="1:13">
      <c r="A383" t="s">
        <v>1439</v>
      </c>
      <c r="B383" t="s">
        <v>49</v>
      </c>
      <c r="C383" t="s">
        <v>50</v>
      </c>
      <c r="D383" t="s">
        <v>58</v>
      </c>
      <c r="E383">
        <v>2022</v>
      </c>
      <c r="F383" s="4">
        <v>1135287</v>
      </c>
      <c r="G383" s="5">
        <v>9.1000000000000004E-3</v>
      </c>
      <c r="H383" s="6">
        <v>10331.11</v>
      </c>
      <c r="I383" t="s">
        <v>1440</v>
      </c>
      <c r="J383" t="s">
        <v>1441</v>
      </c>
      <c r="K383" t="s">
        <v>1191</v>
      </c>
      <c r="L383" s="4">
        <v>1329053</v>
      </c>
      <c r="M383" s="7">
        <v>45324</v>
      </c>
    </row>
    <row r="384" spans="1:13">
      <c r="A384" t="s">
        <v>1442</v>
      </c>
      <c r="B384" t="s">
        <v>101</v>
      </c>
      <c r="C384" t="s">
        <v>102</v>
      </c>
      <c r="D384" t="s">
        <v>51</v>
      </c>
      <c r="E384">
        <v>2022</v>
      </c>
      <c r="F384" s="4">
        <v>948331</v>
      </c>
      <c r="G384" s="5">
        <v>1.29E-2</v>
      </c>
      <c r="H384" s="6">
        <v>12233.47</v>
      </c>
      <c r="I384" t="s">
        <v>1443</v>
      </c>
      <c r="J384" t="s">
        <v>1444</v>
      </c>
      <c r="K384" t="s">
        <v>1445</v>
      </c>
      <c r="L384" s="4">
        <v>913366</v>
      </c>
      <c r="M384" s="7">
        <v>44063</v>
      </c>
    </row>
    <row r="385" spans="1:13">
      <c r="A385" t="s">
        <v>1446</v>
      </c>
      <c r="B385" t="s">
        <v>63</v>
      </c>
      <c r="C385" t="s">
        <v>64</v>
      </c>
      <c r="D385" t="s">
        <v>71</v>
      </c>
      <c r="E385">
        <v>2023</v>
      </c>
      <c r="F385" s="4">
        <v>3242370</v>
      </c>
      <c r="G385" s="5">
        <v>1.6500000000000001E-2</v>
      </c>
      <c r="H385" s="6">
        <v>59983.839999999997</v>
      </c>
      <c r="I385" t="s">
        <v>1447</v>
      </c>
      <c r="J385" t="s">
        <v>1448</v>
      </c>
      <c r="K385" t="s">
        <v>1449</v>
      </c>
      <c r="L385" s="4">
        <v>3727648</v>
      </c>
      <c r="M385" s="7">
        <v>45281</v>
      </c>
    </row>
    <row r="386" spans="1:13">
      <c r="A386" t="s">
        <v>1450</v>
      </c>
      <c r="B386" t="s">
        <v>69</v>
      </c>
      <c r="C386" t="s">
        <v>70</v>
      </c>
      <c r="D386" t="s">
        <v>82</v>
      </c>
      <c r="E386">
        <v>2023</v>
      </c>
      <c r="F386" s="4">
        <v>2803216</v>
      </c>
      <c r="G386" s="5">
        <v>1.49E-2</v>
      </c>
      <c r="H386" s="6">
        <v>41767.919999999998</v>
      </c>
      <c r="I386" t="s">
        <v>1451</v>
      </c>
      <c r="J386" t="s">
        <v>1452</v>
      </c>
      <c r="K386" t="s">
        <v>1453</v>
      </c>
      <c r="L386" s="4">
        <v>3181487</v>
      </c>
      <c r="M386" s="7">
        <v>44101</v>
      </c>
    </row>
    <row r="387" spans="1:13">
      <c r="A387" t="s">
        <v>1454</v>
      </c>
      <c r="B387" t="s">
        <v>56</v>
      </c>
      <c r="C387" t="s">
        <v>57</v>
      </c>
      <c r="D387" t="s">
        <v>51</v>
      </c>
      <c r="E387">
        <v>2022</v>
      </c>
      <c r="F387" s="4">
        <v>610757</v>
      </c>
      <c r="G387" s="5">
        <v>1.24E-2</v>
      </c>
      <c r="H387" s="6">
        <v>7573.39</v>
      </c>
      <c r="I387" t="s">
        <v>1455</v>
      </c>
      <c r="J387" t="s">
        <v>1456</v>
      </c>
      <c r="K387" t="s">
        <v>1045</v>
      </c>
      <c r="L387" s="4">
        <v>736016</v>
      </c>
      <c r="M387" s="7">
        <v>44616</v>
      </c>
    </row>
    <row r="388" spans="1:13">
      <c r="A388" t="s">
        <v>1457</v>
      </c>
      <c r="B388" t="s">
        <v>150</v>
      </c>
      <c r="C388" t="s">
        <v>151</v>
      </c>
      <c r="D388" t="s">
        <v>58</v>
      </c>
      <c r="E388">
        <v>2023</v>
      </c>
      <c r="F388" s="4">
        <v>3279028</v>
      </c>
      <c r="G388" s="5">
        <v>9.2999999999999992E-3</v>
      </c>
      <c r="H388" s="6">
        <v>30494.959999999999</v>
      </c>
      <c r="I388" t="s">
        <v>1458</v>
      </c>
      <c r="J388" t="s">
        <v>1459</v>
      </c>
      <c r="K388" t="s">
        <v>874</v>
      </c>
      <c r="L388" s="4">
        <v>3214927</v>
      </c>
      <c r="M388" s="7">
        <v>43904</v>
      </c>
    </row>
    <row r="389" spans="1:13">
      <c r="A389" t="s">
        <v>1460</v>
      </c>
      <c r="B389" t="s">
        <v>101</v>
      </c>
      <c r="C389" t="s">
        <v>102</v>
      </c>
      <c r="D389" t="s">
        <v>71</v>
      </c>
      <c r="E389">
        <v>2022</v>
      </c>
      <c r="F389" s="4">
        <v>6568812</v>
      </c>
      <c r="G389" s="5">
        <v>1.89E-2</v>
      </c>
      <c r="H389" s="6">
        <v>124150.55</v>
      </c>
      <c r="I389" t="s">
        <v>1461</v>
      </c>
      <c r="J389" t="s">
        <v>1462</v>
      </c>
      <c r="K389" t="s">
        <v>703</v>
      </c>
      <c r="L389" s="4">
        <v>7907934</v>
      </c>
      <c r="M389" s="7">
        <v>44205</v>
      </c>
    </row>
    <row r="390" spans="1:13">
      <c r="A390" t="s">
        <v>1463</v>
      </c>
      <c r="B390" t="s">
        <v>131</v>
      </c>
      <c r="C390" t="s">
        <v>132</v>
      </c>
      <c r="D390" t="s">
        <v>82</v>
      </c>
      <c r="E390">
        <v>2023</v>
      </c>
      <c r="F390" s="4">
        <v>7788716</v>
      </c>
      <c r="G390" s="5">
        <v>1.5100000000000001E-2</v>
      </c>
      <c r="H390" s="6">
        <v>117609.61</v>
      </c>
      <c r="I390" t="s">
        <v>1464</v>
      </c>
      <c r="J390" t="s">
        <v>1465</v>
      </c>
      <c r="K390" t="s">
        <v>757</v>
      </c>
      <c r="L390" s="4">
        <v>7905782</v>
      </c>
      <c r="M390" s="7">
        <v>44413</v>
      </c>
    </row>
    <row r="391" spans="1:13">
      <c r="A391" t="s">
        <v>1466</v>
      </c>
      <c r="B391" t="s">
        <v>49</v>
      </c>
      <c r="C391" t="s">
        <v>50</v>
      </c>
      <c r="D391" t="s">
        <v>58</v>
      </c>
      <c r="E391">
        <v>2023</v>
      </c>
      <c r="F391" s="4">
        <v>1993495</v>
      </c>
      <c r="G391" s="5">
        <v>9.1000000000000004E-3</v>
      </c>
      <c r="H391" s="6">
        <v>18140.8</v>
      </c>
      <c r="I391" t="s">
        <v>1467</v>
      </c>
      <c r="J391" t="s">
        <v>1468</v>
      </c>
      <c r="K391" t="s">
        <v>1469</v>
      </c>
      <c r="L391" s="4">
        <v>2457608</v>
      </c>
      <c r="M391" s="7">
        <v>44496</v>
      </c>
    </row>
    <row r="392" spans="1:13">
      <c r="A392" t="s">
        <v>1470</v>
      </c>
      <c r="B392" t="s">
        <v>87</v>
      </c>
      <c r="C392" t="s">
        <v>88</v>
      </c>
      <c r="D392" t="s">
        <v>97</v>
      </c>
      <c r="E392">
        <v>2022</v>
      </c>
      <c r="F392" s="4">
        <v>4206768</v>
      </c>
      <c r="G392" s="5">
        <v>2.0500000000000001E-2</v>
      </c>
      <c r="H392" s="6">
        <v>86238.74</v>
      </c>
      <c r="I392" t="s">
        <v>1471</v>
      </c>
      <c r="J392" t="s">
        <v>1472</v>
      </c>
      <c r="K392" t="s">
        <v>334</v>
      </c>
      <c r="L392" s="4">
        <v>3816292</v>
      </c>
      <c r="M392" s="7">
        <v>44318</v>
      </c>
    </row>
    <row r="393" spans="1:13">
      <c r="A393" t="s">
        <v>1473</v>
      </c>
      <c r="B393" t="s">
        <v>131</v>
      </c>
      <c r="C393" t="s">
        <v>132</v>
      </c>
      <c r="D393" t="s">
        <v>58</v>
      </c>
      <c r="E393">
        <v>2024</v>
      </c>
      <c r="F393" s="4">
        <v>1188471</v>
      </c>
      <c r="G393" s="5">
        <v>9.7999999999999997E-3</v>
      </c>
      <c r="H393" s="6">
        <v>11647.02</v>
      </c>
      <c r="I393" t="s">
        <v>1474</v>
      </c>
      <c r="J393" t="s">
        <v>1475</v>
      </c>
      <c r="K393" t="s">
        <v>256</v>
      </c>
      <c r="L393" s="4">
        <v>1437925</v>
      </c>
      <c r="M393" s="7">
        <v>45172</v>
      </c>
    </row>
    <row r="394" spans="1:13">
      <c r="A394" t="s">
        <v>1476</v>
      </c>
      <c r="B394" t="s">
        <v>137</v>
      </c>
      <c r="C394" t="s">
        <v>138</v>
      </c>
      <c r="D394" t="s">
        <v>82</v>
      </c>
      <c r="E394">
        <v>2024</v>
      </c>
      <c r="F394" s="4">
        <v>3037298</v>
      </c>
      <c r="G394" s="5">
        <v>1.4999999999999999E-2</v>
      </c>
      <c r="H394" s="6">
        <v>45559.47</v>
      </c>
      <c r="I394" t="s">
        <v>1477</v>
      </c>
      <c r="J394" t="s">
        <v>1478</v>
      </c>
      <c r="K394" t="s">
        <v>1288</v>
      </c>
      <c r="L394" s="4">
        <v>3260123</v>
      </c>
      <c r="M394" s="7">
        <v>45486</v>
      </c>
    </row>
    <row r="395" spans="1:13">
      <c r="A395" t="s">
        <v>1479</v>
      </c>
      <c r="B395" t="s">
        <v>56</v>
      </c>
      <c r="C395" t="s">
        <v>57</v>
      </c>
      <c r="D395" t="s">
        <v>51</v>
      </c>
      <c r="E395">
        <v>2023</v>
      </c>
      <c r="F395" s="4">
        <v>748324</v>
      </c>
      <c r="G395" s="5">
        <v>1.24E-2</v>
      </c>
      <c r="H395" s="6">
        <v>9279.2199999999993</v>
      </c>
      <c r="I395" t="s">
        <v>1480</v>
      </c>
      <c r="J395" t="s">
        <v>1481</v>
      </c>
      <c r="K395" t="s">
        <v>664</v>
      </c>
      <c r="L395" s="4">
        <v>685303</v>
      </c>
      <c r="M395" s="7">
        <v>44051</v>
      </c>
    </row>
    <row r="396" spans="1:13">
      <c r="A396" t="s">
        <v>1482</v>
      </c>
      <c r="B396" t="s">
        <v>56</v>
      </c>
      <c r="C396" t="s">
        <v>57</v>
      </c>
      <c r="D396" t="s">
        <v>58</v>
      </c>
      <c r="E396">
        <v>2024</v>
      </c>
      <c r="F396" s="4">
        <v>740618</v>
      </c>
      <c r="G396" s="5">
        <v>9.4000000000000004E-3</v>
      </c>
      <c r="H396" s="6">
        <v>6961.81</v>
      </c>
      <c r="I396" t="s">
        <v>1483</v>
      </c>
      <c r="J396" t="s">
        <v>1484</v>
      </c>
      <c r="K396" t="s">
        <v>186</v>
      </c>
      <c r="L396" s="4">
        <v>678288</v>
      </c>
      <c r="M396" s="7">
        <v>45049</v>
      </c>
    </row>
    <row r="397" spans="1:13">
      <c r="A397" t="s">
        <v>1485</v>
      </c>
      <c r="B397" t="s">
        <v>137</v>
      </c>
      <c r="C397" t="s">
        <v>138</v>
      </c>
      <c r="D397" t="s">
        <v>71</v>
      </c>
      <c r="E397">
        <v>2024</v>
      </c>
      <c r="F397" s="4">
        <v>7066216</v>
      </c>
      <c r="G397" s="5">
        <v>1.8700000000000001E-2</v>
      </c>
      <c r="H397" s="6">
        <v>132138.23999999999</v>
      </c>
      <c r="I397" t="s">
        <v>1486</v>
      </c>
      <c r="J397" t="s">
        <v>1487</v>
      </c>
      <c r="K397" t="s">
        <v>314</v>
      </c>
      <c r="L397" s="4">
        <v>7336335</v>
      </c>
      <c r="M397" s="7">
        <v>44224</v>
      </c>
    </row>
    <row r="398" spans="1:13">
      <c r="A398" t="s">
        <v>1488</v>
      </c>
      <c r="B398" t="s">
        <v>131</v>
      </c>
      <c r="C398" t="s">
        <v>132</v>
      </c>
      <c r="D398" t="s">
        <v>58</v>
      </c>
      <c r="E398">
        <v>2024</v>
      </c>
      <c r="F398" s="4">
        <v>2325958</v>
      </c>
      <c r="G398" s="5">
        <v>9.7999999999999997E-3</v>
      </c>
      <c r="H398" s="6">
        <v>22794.39</v>
      </c>
      <c r="I398" t="s">
        <v>1489</v>
      </c>
      <c r="J398" t="s">
        <v>1490</v>
      </c>
      <c r="K398" t="s">
        <v>1491</v>
      </c>
      <c r="L398" s="4">
        <v>2106294</v>
      </c>
      <c r="M398" s="7">
        <v>44582</v>
      </c>
    </row>
    <row r="399" spans="1:13">
      <c r="A399" t="s">
        <v>1492</v>
      </c>
      <c r="B399" t="s">
        <v>63</v>
      </c>
      <c r="C399" t="s">
        <v>64</v>
      </c>
      <c r="D399" t="s">
        <v>97</v>
      </c>
      <c r="E399">
        <v>2024</v>
      </c>
      <c r="F399" s="4">
        <v>3125216</v>
      </c>
      <c r="G399" s="5">
        <v>2.0500000000000001E-2</v>
      </c>
      <c r="H399" s="6">
        <v>64066.93</v>
      </c>
      <c r="I399" t="s">
        <v>1493</v>
      </c>
      <c r="J399" t="s">
        <v>1494</v>
      </c>
      <c r="K399" t="s">
        <v>154</v>
      </c>
      <c r="L399" s="4">
        <v>2994385</v>
      </c>
      <c r="M399" s="7">
        <v>44509</v>
      </c>
    </row>
    <row r="400" spans="1:13">
      <c r="A400" t="s">
        <v>1495</v>
      </c>
      <c r="B400" t="s">
        <v>101</v>
      </c>
      <c r="C400" t="s">
        <v>102</v>
      </c>
      <c r="D400" t="s">
        <v>58</v>
      </c>
      <c r="E400">
        <v>2024</v>
      </c>
      <c r="F400" s="4">
        <v>435519</v>
      </c>
      <c r="G400" s="5">
        <v>9.9000000000000008E-3</v>
      </c>
      <c r="H400" s="6">
        <v>4311.6400000000003</v>
      </c>
      <c r="I400" t="s">
        <v>1496</v>
      </c>
      <c r="J400" t="s">
        <v>1497</v>
      </c>
      <c r="K400" t="s">
        <v>186</v>
      </c>
      <c r="L400" s="4">
        <v>504321</v>
      </c>
      <c r="M400" s="7">
        <v>45417</v>
      </c>
    </row>
    <row r="401" spans="1:13">
      <c r="A401" t="s">
        <v>1498</v>
      </c>
      <c r="B401" t="s">
        <v>56</v>
      </c>
      <c r="C401" t="s">
        <v>57</v>
      </c>
      <c r="D401" t="s">
        <v>71</v>
      </c>
      <c r="E401">
        <v>2021</v>
      </c>
      <c r="F401" s="4">
        <v>4829620</v>
      </c>
      <c r="G401" s="5">
        <v>1.84E-2</v>
      </c>
      <c r="H401" s="6">
        <v>88865.01</v>
      </c>
      <c r="I401" t="s">
        <v>1499</v>
      </c>
      <c r="J401" t="s">
        <v>1500</v>
      </c>
      <c r="K401" t="s">
        <v>1501</v>
      </c>
      <c r="L401" s="4">
        <v>4799421</v>
      </c>
      <c r="M401" s="7">
        <v>45174</v>
      </c>
    </row>
    <row r="402" spans="1:13">
      <c r="A402" t="s">
        <v>1502</v>
      </c>
      <c r="B402" t="s">
        <v>101</v>
      </c>
      <c r="C402" t="s">
        <v>102</v>
      </c>
      <c r="D402" t="s">
        <v>51</v>
      </c>
      <c r="E402">
        <v>2024</v>
      </c>
      <c r="F402" s="4">
        <v>866845</v>
      </c>
      <c r="G402" s="5">
        <v>1.29E-2</v>
      </c>
      <c r="H402" s="6">
        <v>11182.3</v>
      </c>
      <c r="I402" t="s">
        <v>1503</v>
      </c>
      <c r="J402" t="s">
        <v>1504</v>
      </c>
      <c r="K402" t="s">
        <v>377</v>
      </c>
      <c r="L402" s="4">
        <v>962835</v>
      </c>
      <c r="M402" s="7">
        <v>45661</v>
      </c>
    </row>
    <row r="403" spans="1:13">
      <c r="A403" t="s">
        <v>1505</v>
      </c>
      <c r="B403" t="s">
        <v>101</v>
      </c>
      <c r="C403" t="s">
        <v>102</v>
      </c>
      <c r="D403" t="s">
        <v>97</v>
      </c>
      <c r="E403">
        <v>2023</v>
      </c>
      <c r="F403" s="4">
        <v>3447519</v>
      </c>
      <c r="G403" s="5">
        <v>2.0899999999999998E-2</v>
      </c>
      <c r="H403" s="6">
        <v>72053.149999999994</v>
      </c>
      <c r="I403" t="s">
        <v>1506</v>
      </c>
      <c r="J403" t="s">
        <v>1507</v>
      </c>
      <c r="K403" t="s">
        <v>1508</v>
      </c>
      <c r="L403" s="4">
        <v>3833683</v>
      </c>
      <c r="M403" s="7">
        <v>44037</v>
      </c>
    </row>
    <row r="404" spans="1:13">
      <c r="A404" t="s">
        <v>1509</v>
      </c>
      <c r="B404" t="s">
        <v>69</v>
      </c>
      <c r="C404" t="s">
        <v>70</v>
      </c>
      <c r="D404" t="s">
        <v>58</v>
      </c>
      <c r="E404">
        <v>2023</v>
      </c>
      <c r="F404" s="4">
        <v>15704596</v>
      </c>
      <c r="G404" s="5">
        <v>9.5999999999999992E-3</v>
      </c>
      <c r="H404" s="6">
        <v>10311.969999999999</v>
      </c>
      <c r="I404" t="s">
        <v>1510</v>
      </c>
      <c r="J404" t="s">
        <v>1511</v>
      </c>
      <c r="K404" t="s">
        <v>1512</v>
      </c>
      <c r="L404" s="4">
        <v>1051973</v>
      </c>
      <c r="M404" s="7">
        <v>44981</v>
      </c>
    </row>
    <row r="405" spans="1:13">
      <c r="A405" t="s">
        <v>1513</v>
      </c>
      <c r="B405" t="s">
        <v>76</v>
      </c>
      <c r="C405" t="s">
        <v>77</v>
      </c>
      <c r="D405" t="s">
        <v>58</v>
      </c>
      <c r="E405">
        <v>2023</v>
      </c>
      <c r="F405" s="4">
        <v>4188252</v>
      </c>
      <c r="G405" s="5">
        <v>9.4000000000000004E-3</v>
      </c>
      <c r="H405" s="6">
        <v>39369.57</v>
      </c>
      <c r="I405" t="s">
        <v>1514</v>
      </c>
      <c r="J405" t="s">
        <v>1515</v>
      </c>
      <c r="K405" t="s">
        <v>1516</v>
      </c>
      <c r="L405" s="4">
        <v>5198169</v>
      </c>
      <c r="M405" s="7">
        <v>45431</v>
      </c>
    </row>
    <row r="406" spans="1:13">
      <c r="A406" t="s">
        <v>1517</v>
      </c>
      <c r="B406" t="s">
        <v>87</v>
      </c>
      <c r="C406" t="s">
        <v>88</v>
      </c>
      <c r="D406" t="s">
        <v>82</v>
      </c>
      <c r="E406">
        <v>2021</v>
      </c>
      <c r="F406" s="4">
        <v>11510678</v>
      </c>
      <c r="G406" s="5">
        <v>1.4800000000000001E-2</v>
      </c>
      <c r="H406" s="6">
        <v>170358.03</v>
      </c>
      <c r="I406" t="s">
        <v>1518</v>
      </c>
      <c r="J406" t="s">
        <v>1519</v>
      </c>
      <c r="K406" t="s">
        <v>459</v>
      </c>
      <c r="L406" s="4">
        <v>12966578</v>
      </c>
      <c r="M406" s="7">
        <v>44836</v>
      </c>
    </row>
    <row r="407" spans="1:13">
      <c r="A407" t="s">
        <v>1520</v>
      </c>
      <c r="B407" t="s">
        <v>131</v>
      </c>
      <c r="C407" t="s">
        <v>132</v>
      </c>
      <c r="D407" t="s">
        <v>51</v>
      </c>
      <c r="E407">
        <v>2022</v>
      </c>
      <c r="F407" s="4">
        <v>728024</v>
      </c>
      <c r="G407" s="5">
        <v>1.2800000000000001E-2</v>
      </c>
      <c r="H407" s="6">
        <v>9318.7099999999991</v>
      </c>
      <c r="I407" t="s">
        <v>1521</v>
      </c>
      <c r="J407" t="s">
        <v>1522</v>
      </c>
      <c r="K407" t="s">
        <v>486</v>
      </c>
      <c r="L407" s="4">
        <v>815608</v>
      </c>
      <c r="M407" s="7">
        <v>44471</v>
      </c>
    </row>
    <row r="408" spans="1:13">
      <c r="A408" t="s">
        <v>1523</v>
      </c>
      <c r="B408" t="s">
        <v>131</v>
      </c>
      <c r="C408" t="s">
        <v>132</v>
      </c>
      <c r="D408" t="s">
        <v>82</v>
      </c>
      <c r="E408">
        <v>2024</v>
      </c>
      <c r="F408" s="4">
        <v>10872580</v>
      </c>
      <c r="G408" s="5">
        <v>1.5100000000000001E-2</v>
      </c>
      <c r="H408" s="6">
        <v>164175.96</v>
      </c>
      <c r="I408" t="s">
        <v>1524</v>
      </c>
      <c r="J408" t="s">
        <v>1525</v>
      </c>
      <c r="K408" t="s">
        <v>373</v>
      </c>
      <c r="L408" s="4">
        <v>10107937</v>
      </c>
      <c r="M408" s="7">
        <v>44841</v>
      </c>
    </row>
    <row r="409" spans="1:13">
      <c r="A409" t="s">
        <v>1526</v>
      </c>
      <c r="B409" t="s">
        <v>69</v>
      </c>
      <c r="C409" t="s">
        <v>70</v>
      </c>
      <c r="D409" t="s">
        <v>97</v>
      </c>
      <c r="E409">
        <v>2024</v>
      </c>
      <c r="F409" s="4">
        <v>1094199</v>
      </c>
      <c r="G409" s="5">
        <v>2.06E-2</v>
      </c>
      <c r="H409" s="6">
        <v>22540.5</v>
      </c>
      <c r="I409" t="s">
        <v>1527</v>
      </c>
      <c r="J409" t="s">
        <v>1528</v>
      </c>
      <c r="K409" t="s">
        <v>377</v>
      </c>
      <c r="L409" s="4">
        <v>1116581</v>
      </c>
      <c r="M409" s="7">
        <v>44769</v>
      </c>
    </row>
    <row r="410" spans="1:13">
      <c r="A410" t="s">
        <v>1529</v>
      </c>
      <c r="B410" t="s">
        <v>56</v>
      </c>
      <c r="C410" t="s">
        <v>57</v>
      </c>
      <c r="D410" t="s">
        <v>82</v>
      </c>
      <c r="E410">
        <v>2022</v>
      </c>
      <c r="F410" s="4">
        <v>9541185</v>
      </c>
      <c r="G410" s="5">
        <v>1.47E-2</v>
      </c>
      <c r="H410" s="6">
        <v>140255.42000000001</v>
      </c>
      <c r="I410" t="s">
        <v>1530</v>
      </c>
      <c r="J410" t="s">
        <v>1531</v>
      </c>
      <c r="K410" t="s">
        <v>322</v>
      </c>
      <c r="L410" s="4">
        <v>11008472</v>
      </c>
      <c r="M410" s="7">
        <v>43982</v>
      </c>
    </row>
    <row r="411" spans="1:13">
      <c r="A411" t="s">
        <v>1532</v>
      </c>
      <c r="B411" t="s">
        <v>56</v>
      </c>
      <c r="C411" t="s">
        <v>57</v>
      </c>
      <c r="D411" t="s">
        <v>82</v>
      </c>
      <c r="E411">
        <v>2023</v>
      </c>
      <c r="F411" s="4">
        <v>4299160</v>
      </c>
      <c r="G411" s="5">
        <v>1.47E-2</v>
      </c>
      <c r="H411" s="6">
        <v>63197.65</v>
      </c>
      <c r="I411" t="s">
        <v>1533</v>
      </c>
      <c r="J411" t="s">
        <v>1534</v>
      </c>
      <c r="K411" t="s">
        <v>1535</v>
      </c>
      <c r="L411" s="4">
        <v>5354321</v>
      </c>
      <c r="M411" s="7">
        <v>44057</v>
      </c>
    </row>
    <row r="412" spans="1:13">
      <c r="A412" t="s">
        <v>1536</v>
      </c>
      <c r="B412" t="s">
        <v>63</v>
      </c>
      <c r="C412" t="s">
        <v>64</v>
      </c>
      <c r="D412" t="s">
        <v>71</v>
      </c>
      <c r="E412">
        <v>2023</v>
      </c>
      <c r="F412" s="4">
        <v>5882778</v>
      </c>
      <c r="G412" s="5">
        <v>1.8499999999999999E-2</v>
      </c>
      <c r="H412" s="6">
        <v>108831.39</v>
      </c>
      <c r="I412" t="s">
        <v>1537</v>
      </c>
      <c r="J412" t="s">
        <v>1538</v>
      </c>
      <c r="K412" t="s">
        <v>84</v>
      </c>
      <c r="L412" s="4">
        <v>6765939</v>
      </c>
      <c r="M412" s="7">
        <v>45116</v>
      </c>
    </row>
    <row r="413" spans="1:13">
      <c r="A413" t="s">
        <v>1539</v>
      </c>
      <c r="B413" t="s">
        <v>602</v>
      </c>
      <c r="C413" t="s">
        <v>64</v>
      </c>
      <c r="D413" t="s">
        <v>82</v>
      </c>
      <c r="E413">
        <v>2022</v>
      </c>
      <c r="F413" s="4">
        <v>5546064</v>
      </c>
      <c r="G413" s="5">
        <v>1.47E-2</v>
      </c>
      <c r="H413" s="6">
        <v>81527.14</v>
      </c>
      <c r="I413" t="s">
        <v>1540</v>
      </c>
      <c r="J413" t="s">
        <v>1541</v>
      </c>
      <c r="K413" t="s">
        <v>896</v>
      </c>
      <c r="L413" s="4">
        <v>5817778</v>
      </c>
      <c r="M413" s="7">
        <v>45153</v>
      </c>
    </row>
    <row r="414" spans="1:13">
      <c r="A414" t="s">
        <v>1542</v>
      </c>
      <c r="B414" t="s">
        <v>49</v>
      </c>
      <c r="C414" t="s">
        <v>50</v>
      </c>
      <c r="D414" t="s">
        <v>51</v>
      </c>
      <c r="E414">
        <v>2021</v>
      </c>
      <c r="F414" s="4">
        <v>718298</v>
      </c>
      <c r="G414" s="5">
        <v>1.21E-2</v>
      </c>
      <c r="H414" s="6">
        <v>8691.41</v>
      </c>
      <c r="I414" t="s">
        <v>1543</v>
      </c>
      <c r="J414" t="s">
        <v>1544</v>
      </c>
      <c r="K414" t="s">
        <v>213</v>
      </c>
      <c r="L414" s="4">
        <v>819690</v>
      </c>
      <c r="M414" s="7">
        <v>45471</v>
      </c>
    </row>
    <row r="415" spans="1:13">
      <c r="A415" t="s">
        <v>1545</v>
      </c>
      <c r="B415" t="s">
        <v>69</v>
      </c>
      <c r="C415" t="s">
        <v>70</v>
      </c>
      <c r="D415" t="s">
        <v>97</v>
      </c>
      <c r="E415">
        <v>2022</v>
      </c>
      <c r="F415" s="4">
        <v>2590614</v>
      </c>
      <c r="G415" s="5">
        <v>2.06E-2</v>
      </c>
      <c r="H415" s="6">
        <v>53366.65</v>
      </c>
      <c r="I415" t="s">
        <v>1546</v>
      </c>
      <c r="J415" t="s">
        <v>1547</v>
      </c>
      <c r="K415" t="s">
        <v>1062</v>
      </c>
      <c r="L415" s="4">
        <v>2666431</v>
      </c>
      <c r="M415" s="7">
        <v>43952</v>
      </c>
    </row>
    <row r="416" spans="1:13">
      <c r="A416" t="s">
        <v>1548</v>
      </c>
      <c r="B416" t="s">
        <v>87</v>
      </c>
      <c r="C416" t="s">
        <v>88</v>
      </c>
      <c r="D416" t="s">
        <v>58</v>
      </c>
      <c r="E416">
        <v>2021</v>
      </c>
      <c r="F416" s="4">
        <v>814074</v>
      </c>
      <c r="G416" s="5">
        <v>9.4999999999999998E-3</v>
      </c>
      <c r="H416" s="6">
        <v>7733.7</v>
      </c>
      <c r="I416" t="s">
        <v>1549</v>
      </c>
      <c r="J416" t="s">
        <v>1550</v>
      </c>
      <c r="K416" t="s">
        <v>158</v>
      </c>
      <c r="L416" s="4">
        <v>999591</v>
      </c>
      <c r="M416" s="7">
        <v>44715</v>
      </c>
    </row>
    <row r="417" spans="1:13">
      <c r="A417" t="s">
        <v>1551</v>
      </c>
      <c r="B417" t="s">
        <v>137</v>
      </c>
      <c r="C417" t="s">
        <v>138</v>
      </c>
      <c r="D417" t="s">
        <v>97</v>
      </c>
      <c r="E417">
        <v>2022</v>
      </c>
      <c r="F417" s="4">
        <v>3937434</v>
      </c>
      <c r="G417" s="5">
        <v>2.07E-2</v>
      </c>
      <c r="H417" s="6">
        <v>81504.88</v>
      </c>
      <c r="I417" t="s">
        <v>1552</v>
      </c>
      <c r="J417" t="s">
        <v>1553</v>
      </c>
      <c r="K417" t="s">
        <v>109</v>
      </c>
      <c r="L417" s="4">
        <v>4063656</v>
      </c>
      <c r="M417" s="7">
        <v>44009</v>
      </c>
    </row>
    <row r="418" spans="1:13">
      <c r="A418" t="s">
        <v>1554</v>
      </c>
      <c r="B418" t="s">
        <v>131</v>
      </c>
      <c r="C418" t="s">
        <v>132</v>
      </c>
      <c r="D418" t="s">
        <v>82</v>
      </c>
      <c r="E418">
        <v>2024</v>
      </c>
      <c r="F418" s="4">
        <v>10457003</v>
      </c>
      <c r="G418" s="5">
        <v>1.5100000000000001E-2</v>
      </c>
      <c r="H418" s="6">
        <v>157900.75</v>
      </c>
      <c r="I418" t="s">
        <v>1555</v>
      </c>
      <c r="J418" t="s">
        <v>1556</v>
      </c>
      <c r="K418" t="s">
        <v>1557</v>
      </c>
      <c r="L418" s="4">
        <v>10426482</v>
      </c>
      <c r="M418" s="7">
        <v>44378</v>
      </c>
    </row>
    <row r="419" spans="1:13">
      <c r="A419" t="s">
        <v>1558</v>
      </c>
      <c r="B419" t="s">
        <v>131</v>
      </c>
      <c r="C419" t="s">
        <v>132</v>
      </c>
      <c r="D419" t="s">
        <v>51</v>
      </c>
      <c r="E419">
        <v>2023</v>
      </c>
      <c r="F419" s="4">
        <v>817072</v>
      </c>
      <c r="G419" s="5">
        <v>1.2800000000000001E-2</v>
      </c>
      <c r="H419" s="6">
        <v>10458.52</v>
      </c>
      <c r="I419" t="s">
        <v>1559</v>
      </c>
      <c r="J419" t="s">
        <v>1560</v>
      </c>
      <c r="K419" t="s">
        <v>229</v>
      </c>
      <c r="L419" s="4">
        <v>786767</v>
      </c>
      <c r="M419" s="7">
        <v>43869</v>
      </c>
    </row>
    <row r="420" spans="1:13">
      <c r="A420" t="s">
        <v>1561</v>
      </c>
      <c r="B420" t="s">
        <v>137</v>
      </c>
      <c r="C420" t="s">
        <v>138</v>
      </c>
      <c r="D420" t="s">
        <v>97</v>
      </c>
      <c r="E420">
        <v>2022</v>
      </c>
      <c r="F420" s="4">
        <v>3998581</v>
      </c>
      <c r="G420" s="5">
        <v>2.07E-2</v>
      </c>
      <c r="H420" s="6">
        <v>82770.63</v>
      </c>
      <c r="I420" t="s">
        <v>1562</v>
      </c>
      <c r="J420" t="s">
        <v>1563</v>
      </c>
      <c r="K420" t="s">
        <v>158</v>
      </c>
      <c r="L420" s="4">
        <v>4801804</v>
      </c>
      <c r="M420" s="7">
        <v>44765</v>
      </c>
    </row>
    <row r="421" spans="1:13">
      <c r="A421" t="s">
        <v>1564</v>
      </c>
      <c r="B421" t="s">
        <v>69</v>
      </c>
      <c r="C421" t="s">
        <v>70</v>
      </c>
      <c r="D421" t="s">
        <v>71</v>
      </c>
      <c r="E421">
        <v>2021</v>
      </c>
      <c r="F421" s="4">
        <v>2443385</v>
      </c>
      <c r="G421" s="5">
        <v>1.8599999999999998E-2</v>
      </c>
      <c r="H421" s="6">
        <v>45446.96</v>
      </c>
      <c r="I421" t="s">
        <v>1565</v>
      </c>
      <c r="J421" t="s">
        <v>1566</v>
      </c>
      <c r="K421" t="s">
        <v>1162</v>
      </c>
      <c r="L421" s="4">
        <v>2222283</v>
      </c>
      <c r="M421" s="7">
        <v>43705</v>
      </c>
    </row>
    <row r="422" spans="1:13">
      <c r="A422" t="s">
        <v>1567</v>
      </c>
      <c r="B422" t="s">
        <v>137</v>
      </c>
      <c r="C422" t="s">
        <v>138</v>
      </c>
      <c r="D422" t="s">
        <v>58</v>
      </c>
      <c r="E422">
        <v>2021</v>
      </c>
      <c r="F422" s="4">
        <v>1270783</v>
      </c>
      <c r="G422" s="5">
        <v>9.7000000000000003E-3</v>
      </c>
      <c r="H422" s="6">
        <v>12326.6</v>
      </c>
      <c r="I422" t="s">
        <v>1568</v>
      </c>
      <c r="J422" t="s">
        <v>1569</v>
      </c>
      <c r="K422" t="s">
        <v>1191</v>
      </c>
      <c r="L422" s="4">
        <v>1565954</v>
      </c>
      <c r="M422" s="7">
        <v>44569</v>
      </c>
    </row>
    <row r="423" spans="1:13">
      <c r="A423" t="s">
        <v>1570</v>
      </c>
      <c r="B423" t="s">
        <v>63</v>
      </c>
      <c r="C423" t="s">
        <v>64</v>
      </c>
      <c r="D423" t="s">
        <v>71</v>
      </c>
      <c r="E423">
        <v>2024</v>
      </c>
      <c r="F423" s="4">
        <v>5304412</v>
      </c>
      <c r="G423" s="5">
        <v>1.8499999999999999E-2</v>
      </c>
      <c r="H423" s="6">
        <v>98131.62</v>
      </c>
      <c r="I423" t="s">
        <v>1571</v>
      </c>
      <c r="J423" t="s">
        <v>1572</v>
      </c>
      <c r="K423" t="s">
        <v>1041</v>
      </c>
      <c r="L423" s="4">
        <v>5828944</v>
      </c>
      <c r="M423" s="7">
        <v>45110</v>
      </c>
    </row>
    <row r="424" spans="1:13">
      <c r="A424" t="s">
        <v>1573</v>
      </c>
      <c r="B424" t="s">
        <v>49</v>
      </c>
      <c r="C424" t="s">
        <v>50</v>
      </c>
      <c r="D424" t="s">
        <v>82</v>
      </c>
      <c r="E424">
        <v>2022</v>
      </c>
      <c r="F424" s="4">
        <v>10800358</v>
      </c>
      <c r="G424" s="5">
        <v>1.44E-2</v>
      </c>
      <c r="H424" s="6">
        <v>155525.16</v>
      </c>
      <c r="I424" t="s">
        <v>1574</v>
      </c>
      <c r="J424" t="s">
        <v>1575</v>
      </c>
      <c r="K424" t="s">
        <v>1253</v>
      </c>
      <c r="L424" s="4">
        <v>10813721</v>
      </c>
      <c r="M424" s="7">
        <v>44151</v>
      </c>
    </row>
    <row r="425" spans="1:13">
      <c r="A425" t="s">
        <v>1576</v>
      </c>
      <c r="B425" t="s">
        <v>63</v>
      </c>
      <c r="C425" t="s">
        <v>64</v>
      </c>
      <c r="D425" t="s">
        <v>51</v>
      </c>
      <c r="E425">
        <v>2024</v>
      </c>
      <c r="F425" s="4">
        <v>619664</v>
      </c>
      <c r="G425" s="5">
        <v>1.2500000000000001E-2</v>
      </c>
      <c r="H425" s="6">
        <v>7745.8</v>
      </c>
      <c r="I425" t="s">
        <v>1577</v>
      </c>
      <c r="J425" t="s">
        <v>1578</v>
      </c>
      <c r="K425" t="s">
        <v>568</v>
      </c>
      <c r="L425" s="4">
        <v>577155</v>
      </c>
      <c r="M425" s="7">
        <v>45627</v>
      </c>
    </row>
    <row r="426" spans="1:13">
      <c r="A426" t="s">
        <v>1579</v>
      </c>
      <c r="B426" t="s">
        <v>49</v>
      </c>
      <c r="C426" t="s">
        <v>50</v>
      </c>
      <c r="D426" t="s">
        <v>97</v>
      </c>
      <c r="E426">
        <v>2023</v>
      </c>
      <c r="F426" s="4">
        <v>4307998</v>
      </c>
      <c r="G426" s="5">
        <v>2.01E-2</v>
      </c>
      <c r="H426" s="6">
        <v>86590.76</v>
      </c>
      <c r="I426" t="s">
        <v>1580</v>
      </c>
      <c r="J426" t="s">
        <v>1581</v>
      </c>
      <c r="K426" t="s">
        <v>1582</v>
      </c>
      <c r="L426" s="4">
        <v>4372446</v>
      </c>
      <c r="M426" s="7">
        <v>45702</v>
      </c>
    </row>
    <row r="427" spans="1:13">
      <c r="A427" t="s">
        <v>1583</v>
      </c>
      <c r="B427" t="s">
        <v>131</v>
      </c>
      <c r="C427" t="s">
        <v>132</v>
      </c>
      <c r="D427" t="s">
        <v>51</v>
      </c>
      <c r="E427">
        <v>2024</v>
      </c>
      <c r="F427" s="4">
        <v>296256</v>
      </c>
      <c r="G427" s="5">
        <v>1.2800000000000001E-2</v>
      </c>
      <c r="H427" s="6">
        <v>3792.08</v>
      </c>
      <c r="I427" t="s">
        <v>1584</v>
      </c>
      <c r="J427" t="s">
        <v>1585</v>
      </c>
      <c r="K427" t="s">
        <v>358</v>
      </c>
      <c r="L427" s="4">
        <v>279427</v>
      </c>
      <c r="M427" s="7">
        <v>44967</v>
      </c>
    </row>
    <row r="428" spans="1:13">
      <c r="A428" t="s">
        <v>1586</v>
      </c>
      <c r="B428" t="s">
        <v>87</v>
      </c>
      <c r="C428" t="s">
        <v>88</v>
      </c>
      <c r="D428" t="s">
        <v>71</v>
      </c>
      <c r="E428">
        <v>2024</v>
      </c>
      <c r="F428" s="4">
        <v>2891683</v>
      </c>
      <c r="G428" s="5">
        <v>1.8499999999999999E-2</v>
      </c>
      <c r="H428" s="6">
        <v>53496.14</v>
      </c>
      <c r="I428" t="s">
        <v>1587</v>
      </c>
      <c r="J428" t="s">
        <v>1588</v>
      </c>
      <c r="K428" t="s">
        <v>1228</v>
      </c>
      <c r="L428" s="4">
        <v>2693569</v>
      </c>
      <c r="M428" s="7">
        <v>45453</v>
      </c>
    </row>
    <row r="429" spans="1:13">
      <c r="A429" t="s">
        <v>1589</v>
      </c>
      <c r="B429" t="s">
        <v>137</v>
      </c>
      <c r="C429" t="s">
        <v>138</v>
      </c>
      <c r="D429" t="s">
        <v>97</v>
      </c>
      <c r="E429">
        <v>2022</v>
      </c>
      <c r="F429" s="4">
        <v>5316188</v>
      </c>
      <c r="G429" s="5">
        <v>1.8700000000000001E-2</v>
      </c>
      <c r="H429" s="6">
        <v>110045.09</v>
      </c>
      <c r="I429" t="s">
        <v>1590</v>
      </c>
      <c r="J429" t="s">
        <v>1591</v>
      </c>
      <c r="K429" t="s">
        <v>1141</v>
      </c>
      <c r="L429" s="4">
        <v>5811257</v>
      </c>
      <c r="M429" s="7">
        <v>44184</v>
      </c>
    </row>
    <row r="430" spans="1:13">
      <c r="A430" t="s">
        <v>1592</v>
      </c>
      <c r="B430" t="s">
        <v>49</v>
      </c>
      <c r="C430" t="s">
        <v>50</v>
      </c>
      <c r="D430" t="s">
        <v>82</v>
      </c>
      <c r="E430">
        <v>2022</v>
      </c>
      <c r="F430" s="4">
        <v>185450623</v>
      </c>
      <c r="G430" s="5">
        <v>1.44E-2</v>
      </c>
      <c r="H430" s="6">
        <v>2670488.9700000002</v>
      </c>
      <c r="I430" t="s">
        <v>1593</v>
      </c>
      <c r="J430" t="s">
        <v>1594</v>
      </c>
      <c r="K430" t="s">
        <v>346</v>
      </c>
      <c r="L430" s="4">
        <v>11482221</v>
      </c>
      <c r="M430" s="7">
        <v>43678</v>
      </c>
    </row>
    <row r="431" spans="1:13">
      <c r="A431" t="s">
        <v>1595</v>
      </c>
      <c r="B431" t="s">
        <v>150</v>
      </c>
      <c r="C431" t="s">
        <v>151</v>
      </c>
      <c r="D431" t="s">
        <v>58</v>
      </c>
      <c r="E431">
        <v>2024</v>
      </c>
      <c r="F431" s="4">
        <v>1163326</v>
      </c>
      <c r="G431" s="5">
        <v>9.2999999999999992E-3</v>
      </c>
      <c r="H431" s="6">
        <v>10818.93</v>
      </c>
      <c r="I431" t="s">
        <v>1596</v>
      </c>
      <c r="J431" t="s">
        <v>1597</v>
      </c>
      <c r="K431" t="s">
        <v>1598</v>
      </c>
      <c r="L431" s="4">
        <v>1126231</v>
      </c>
      <c r="M431" s="7">
        <v>44364</v>
      </c>
    </row>
    <row r="432" spans="1:13">
      <c r="A432" t="s">
        <v>1599</v>
      </c>
      <c r="B432" t="s">
        <v>87</v>
      </c>
      <c r="C432" t="s">
        <v>84</v>
      </c>
      <c r="D432" t="s">
        <v>51</v>
      </c>
      <c r="E432">
        <v>2022</v>
      </c>
      <c r="F432" s="4">
        <v>1347444</v>
      </c>
      <c r="G432" s="5">
        <v>1.2500000000000001E-2</v>
      </c>
      <c r="H432" s="6">
        <v>16843.05</v>
      </c>
      <c r="I432" t="s">
        <v>1600</v>
      </c>
      <c r="J432" t="s">
        <v>1601</v>
      </c>
      <c r="K432" t="s">
        <v>1602</v>
      </c>
      <c r="L432" s="4">
        <v>1609088</v>
      </c>
      <c r="M432" s="7">
        <v>44478</v>
      </c>
    </row>
    <row r="433" spans="1:13">
      <c r="A433" t="s">
        <v>1138</v>
      </c>
      <c r="B433" t="s">
        <v>49</v>
      </c>
      <c r="C433" t="s">
        <v>50</v>
      </c>
      <c r="D433" t="s">
        <v>58</v>
      </c>
      <c r="E433">
        <v>2022</v>
      </c>
      <c r="F433" s="4">
        <v>3705140</v>
      </c>
      <c r="G433" s="5">
        <v>9.1000000000000004E-3</v>
      </c>
      <c r="H433" s="6">
        <v>33716.769999999997</v>
      </c>
      <c r="I433" t="s">
        <v>1603</v>
      </c>
      <c r="J433" t="s">
        <v>1604</v>
      </c>
      <c r="K433" t="s">
        <v>284</v>
      </c>
      <c r="L433" s="4">
        <v>3377866</v>
      </c>
      <c r="M433" s="7">
        <v>44749</v>
      </c>
    </row>
    <row r="434" spans="1:13">
      <c r="A434" t="s">
        <v>1605</v>
      </c>
      <c r="B434" t="s">
        <v>678</v>
      </c>
      <c r="C434" t="s">
        <v>50</v>
      </c>
      <c r="D434" t="s">
        <v>97</v>
      </c>
      <c r="E434">
        <v>2021</v>
      </c>
      <c r="F434" s="4">
        <v>4620726</v>
      </c>
      <c r="G434" s="5">
        <v>2.01E-2</v>
      </c>
      <c r="H434" s="6">
        <v>92876.59</v>
      </c>
      <c r="I434" t="s">
        <v>1606</v>
      </c>
      <c r="J434" t="s">
        <v>1607</v>
      </c>
      <c r="K434" t="s">
        <v>802</v>
      </c>
      <c r="L434" s="4">
        <v>5156988</v>
      </c>
      <c r="M434" s="7">
        <v>45149</v>
      </c>
    </row>
    <row r="435" spans="1:13">
      <c r="A435" t="s">
        <v>1608</v>
      </c>
      <c r="B435" t="s">
        <v>613</v>
      </c>
      <c r="C435" t="s">
        <v>50</v>
      </c>
      <c r="D435" t="s">
        <v>82</v>
      </c>
      <c r="E435">
        <v>2021</v>
      </c>
      <c r="F435" s="4">
        <v>6576664</v>
      </c>
      <c r="G435" s="5">
        <v>1.47E-2</v>
      </c>
      <c r="H435" s="6">
        <v>96676.96</v>
      </c>
      <c r="I435" t="s">
        <v>1609</v>
      </c>
      <c r="J435" t="s">
        <v>1610</v>
      </c>
      <c r="K435" t="s">
        <v>642</v>
      </c>
      <c r="L435" s="4">
        <v>7288991</v>
      </c>
      <c r="M435" s="7">
        <v>43742</v>
      </c>
    </row>
    <row r="436" spans="1:13">
      <c r="A436" t="s">
        <v>1611</v>
      </c>
      <c r="B436" t="s">
        <v>87</v>
      </c>
      <c r="C436" t="s">
        <v>88</v>
      </c>
      <c r="D436" t="s">
        <v>97</v>
      </c>
      <c r="E436">
        <v>2022</v>
      </c>
      <c r="F436" s="4">
        <v>3079520</v>
      </c>
      <c r="G436" s="5">
        <v>2.0500000000000001E-2</v>
      </c>
      <c r="H436" s="6">
        <v>63130.16</v>
      </c>
      <c r="I436" t="s">
        <v>1612</v>
      </c>
      <c r="J436" t="s">
        <v>1613</v>
      </c>
      <c r="K436" t="s">
        <v>1614</v>
      </c>
      <c r="L436" s="4">
        <v>3806008</v>
      </c>
      <c r="M436" s="7">
        <v>44931</v>
      </c>
    </row>
    <row r="437" spans="1:13">
      <c r="A437" t="s">
        <v>1615</v>
      </c>
      <c r="B437" t="s">
        <v>137</v>
      </c>
      <c r="C437" t="s">
        <v>138</v>
      </c>
      <c r="D437" t="s">
        <v>82</v>
      </c>
      <c r="E437">
        <v>2022</v>
      </c>
      <c r="F437" s="4">
        <v>3687577</v>
      </c>
      <c r="G437" s="5">
        <v>1.4999999999999999E-2</v>
      </c>
      <c r="H437" s="6">
        <v>55313.65</v>
      </c>
      <c r="I437" t="s">
        <v>1616</v>
      </c>
      <c r="J437" t="s">
        <v>1617</v>
      </c>
      <c r="K437" t="s">
        <v>385</v>
      </c>
      <c r="L437" s="4">
        <v>3863553</v>
      </c>
      <c r="M437" s="7">
        <v>44266</v>
      </c>
    </row>
    <row r="438" spans="1:13">
      <c r="A438" t="s">
        <v>1618</v>
      </c>
      <c r="B438" t="s">
        <v>613</v>
      </c>
      <c r="C438" t="s">
        <v>64</v>
      </c>
      <c r="D438" t="s">
        <v>97</v>
      </c>
      <c r="E438">
        <v>2021</v>
      </c>
      <c r="F438" s="4">
        <v>2064686</v>
      </c>
      <c r="G438" s="5">
        <v>2.0400000000000001E-2</v>
      </c>
      <c r="H438" s="6">
        <v>42119.59</v>
      </c>
      <c r="I438" t="s">
        <v>1619</v>
      </c>
      <c r="J438" t="s">
        <v>1620</v>
      </c>
      <c r="K438" t="s">
        <v>362</v>
      </c>
      <c r="L438" s="4">
        <v>2016769</v>
      </c>
      <c r="M438" s="7">
        <v>43481</v>
      </c>
    </row>
    <row r="439" spans="1:13">
      <c r="A439" t="s">
        <v>1621</v>
      </c>
      <c r="B439" t="s">
        <v>76</v>
      </c>
      <c r="C439" t="s">
        <v>77</v>
      </c>
      <c r="D439" t="s">
        <v>97</v>
      </c>
      <c r="E439">
        <v>2024</v>
      </c>
      <c r="F439" s="4">
        <v>3025878</v>
      </c>
      <c r="G439" s="5">
        <v>2.0400000000000001E-2</v>
      </c>
      <c r="H439" s="6">
        <v>61727.91</v>
      </c>
      <c r="I439" t="s">
        <v>1622</v>
      </c>
      <c r="J439" t="s">
        <v>1623</v>
      </c>
      <c r="K439" t="s">
        <v>1041</v>
      </c>
      <c r="L439" s="4">
        <v>3189708</v>
      </c>
      <c r="M439" s="7">
        <v>45489</v>
      </c>
    </row>
    <row r="440" spans="1:13">
      <c r="A440" t="s">
        <v>1624</v>
      </c>
      <c r="B440" t="s">
        <v>87</v>
      </c>
      <c r="C440" t="s">
        <v>88</v>
      </c>
      <c r="D440" t="s">
        <v>71</v>
      </c>
      <c r="E440">
        <v>2021</v>
      </c>
      <c r="F440" s="4">
        <v>10426160</v>
      </c>
      <c r="G440" s="5">
        <v>1.8499999999999999E-2</v>
      </c>
      <c r="H440" s="6">
        <v>192883.96</v>
      </c>
      <c r="I440" t="s">
        <v>1625</v>
      </c>
      <c r="J440" t="s">
        <v>1626</v>
      </c>
      <c r="K440" t="s">
        <v>74</v>
      </c>
      <c r="L440" s="4">
        <v>9752803</v>
      </c>
      <c r="M440" s="7">
        <v>44028</v>
      </c>
    </row>
    <row r="441" spans="1:13">
      <c r="A441" t="s">
        <v>1627</v>
      </c>
      <c r="B441" t="s">
        <v>69</v>
      </c>
      <c r="C441" t="s">
        <v>70</v>
      </c>
      <c r="D441" t="s">
        <v>51</v>
      </c>
      <c r="E441">
        <v>2023</v>
      </c>
      <c r="F441" s="4">
        <v>1239464</v>
      </c>
      <c r="G441" s="5">
        <v>1.26E-2</v>
      </c>
      <c r="H441" s="6">
        <v>15617.25</v>
      </c>
      <c r="I441" t="s">
        <v>1628</v>
      </c>
      <c r="J441" t="s">
        <v>1629</v>
      </c>
      <c r="K441" t="s">
        <v>1630</v>
      </c>
      <c r="L441" s="4">
        <v>1198671</v>
      </c>
      <c r="M441" s="7">
        <v>44605</v>
      </c>
    </row>
    <row r="442" spans="1:13">
      <c r="A442" t="s">
        <v>1631</v>
      </c>
      <c r="B442" t="s">
        <v>150</v>
      </c>
      <c r="C442" t="s">
        <v>151</v>
      </c>
      <c r="D442" t="s">
        <v>71</v>
      </c>
      <c r="E442">
        <v>2024</v>
      </c>
      <c r="F442" s="4">
        <v>10480391</v>
      </c>
      <c r="G442" s="5">
        <v>1.83E-2</v>
      </c>
      <c r="H442" s="6">
        <v>191791.16</v>
      </c>
      <c r="I442" t="s">
        <v>1632</v>
      </c>
      <c r="J442" t="s">
        <v>1633</v>
      </c>
      <c r="K442" t="s">
        <v>1253</v>
      </c>
      <c r="L442" s="4">
        <v>12984518</v>
      </c>
      <c r="M442" s="7">
        <v>46643</v>
      </c>
    </row>
    <row r="443" spans="1:13">
      <c r="A443" t="s">
        <v>1634</v>
      </c>
      <c r="B443" t="s">
        <v>76</v>
      </c>
      <c r="C443" t="s">
        <v>77</v>
      </c>
      <c r="D443" t="s">
        <v>51</v>
      </c>
      <c r="E443">
        <v>2024</v>
      </c>
      <c r="F443" s="4">
        <v>1028762</v>
      </c>
      <c r="G443" s="5">
        <v>1.24E-2</v>
      </c>
      <c r="H443" s="6">
        <v>12756.65</v>
      </c>
      <c r="I443" t="s">
        <v>1635</v>
      </c>
      <c r="J443" t="s">
        <v>583</v>
      </c>
      <c r="K443" t="s">
        <v>1636</v>
      </c>
      <c r="L443" s="4">
        <v>1175956</v>
      </c>
      <c r="M443" s="7">
        <v>45662</v>
      </c>
    </row>
    <row r="444" spans="1:13">
      <c r="A444" t="s">
        <v>1637</v>
      </c>
      <c r="B444" t="s">
        <v>101</v>
      </c>
      <c r="C444" t="s">
        <v>102</v>
      </c>
      <c r="D444" t="s">
        <v>58</v>
      </c>
      <c r="E444">
        <v>2023</v>
      </c>
      <c r="F444" s="4">
        <v>1965652</v>
      </c>
      <c r="G444" s="5">
        <v>9.9000000000000008E-3</v>
      </c>
      <c r="H444" s="6">
        <v>19459.95</v>
      </c>
      <c r="I444" t="s">
        <v>1638</v>
      </c>
      <c r="J444" t="s">
        <v>1639</v>
      </c>
      <c r="K444" t="s">
        <v>739</v>
      </c>
      <c r="L444" s="4">
        <v>1877243</v>
      </c>
      <c r="M444" s="7">
        <v>45556</v>
      </c>
    </row>
    <row r="445" spans="1:13">
      <c r="A445" t="s">
        <v>1640</v>
      </c>
      <c r="B445" t="s">
        <v>150</v>
      </c>
      <c r="C445" t="s">
        <v>151</v>
      </c>
      <c r="D445" t="s">
        <v>71</v>
      </c>
      <c r="E445">
        <v>2021</v>
      </c>
      <c r="F445" s="4">
        <v>2595382</v>
      </c>
      <c r="G445" s="5">
        <v>1.83E-2</v>
      </c>
      <c r="H445" s="6">
        <v>47495.49</v>
      </c>
      <c r="I445" t="s">
        <v>1641</v>
      </c>
      <c r="J445" t="s">
        <v>1642</v>
      </c>
      <c r="K445" t="s">
        <v>1643</v>
      </c>
      <c r="L445" s="4">
        <v>2669686</v>
      </c>
      <c r="M445" s="7">
        <v>46470</v>
      </c>
    </row>
    <row r="446" spans="1:13">
      <c r="A446" t="s">
        <v>1644</v>
      </c>
      <c r="B446" t="s">
        <v>150</v>
      </c>
      <c r="C446" t="s">
        <v>151</v>
      </c>
      <c r="D446" t="s">
        <v>71</v>
      </c>
      <c r="E446">
        <v>2024</v>
      </c>
      <c r="F446" s="4">
        <v>1455948</v>
      </c>
      <c r="G446" s="5">
        <v>1.83E-2</v>
      </c>
      <c r="H446" s="6">
        <v>26643.85</v>
      </c>
      <c r="I446" t="s">
        <v>1645</v>
      </c>
      <c r="J446" t="s">
        <v>1646</v>
      </c>
      <c r="K446" t="s">
        <v>564</v>
      </c>
      <c r="L446" s="4">
        <v>1329861</v>
      </c>
      <c r="M446" s="7">
        <v>44607</v>
      </c>
    </row>
    <row r="447" spans="1:13">
      <c r="A447" t="s">
        <v>1647</v>
      </c>
      <c r="B447" t="s">
        <v>150</v>
      </c>
      <c r="C447" t="s">
        <v>151</v>
      </c>
      <c r="D447" t="s">
        <v>97</v>
      </c>
      <c r="E447">
        <v>2023</v>
      </c>
      <c r="F447" s="4">
        <v>1800066</v>
      </c>
      <c r="G447" s="5">
        <v>2.0299999999999999E-2</v>
      </c>
      <c r="H447" s="6">
        <v>36541.339999999997</v>
      </c>
      <c r="I447" t="s">
        <v>1648</v>
      </c>
      <c r="J447" t="s">
        <v>1649</v>
      </c>
      <c r="K447" t="s">
        <v>965</v>
      </c>
      <c r="L447" s="4">
        <v>2215945</v>
      </c>
      <c r="M447" s="7">
        <v>45514</v>
      </c>
    </row>
    <row r="448" spans="1:13">
      <c r="A448" t="s">
        <v>1650</v>
      </c>
      <c r="B448" t="s">
        <v>87</v>
      </c>
      <c r="C448" t="s">
        <v>88</v>
      </c>
      <c r="D448" t="s">
        <v>51</v>
      </c>
      <c r="E448">
        <v>2024</v>
      </c>
      <c r="F448" s="4">
        <v>893759</v>
      </c>
      <c r="G448" s="5">
        <v>1.2500000000000001E-2</v>
      </c>
      <c r="H448" s="6">
        <v>11171.99</v>
      </c>
      <c r="I448" t="s">
        <v>1651</v>
      </c>
      <c r="J448" t="s">
        <v>1652</v>
      </c>
      <c r="K448" t="s">
        <v>280</v>
      </c>
      <c r="L448" s="4">
        <v>1052106</v>
      </c>
      <c r="M448" s="7">
        <v>44838</v>
      </c>
    </row>
    <row r="449" spans="1:13">
      <c r="A449" t="s">
        <v>1653</v>
      </c>
      <c r="B449" t="s">
        <v>76</v>
      </c>
      <c r="C449" t="s">
        <v>77</v>
      </c>
      <c r="D449" t="s">
        <v>58</v>
      </c>
      <c r="E449">
        <v>2024</v>
      </c>
      <c r="F449" s="4">
        <v>1018361</v>
      </c>
      <c r="G449" s="5">
        <v>9.4000000000000004E-3</v>
      </c>
      <c r="H449" s="6">
        <v>9572.59</v>
      </c>
      <c r="I449" t="s">
        <v>1654</v>
      </c>
      <c r="J449" t="s">
        <v>1655</v>
      </c>
      <c r="K449" t="s">
        <v>616</v>
      </c>
      <c r="L449" s="4">
        <v>1184781</v>
      </c>
      <c r="M449" s="7">
        <v>45611</v>
      </c>
    </row>
    <row r="450" spans="1:13">
      <c r="A450" t="s">
        <v>1656</v>
      </c>
      <c r="B450" t="s">
        <v>678</v>
      </c>
      <c r="C450" t="s">
        <v>64</v>
      </c>
      <c r="D450" t="s">
        <v>71</v>
      </c>
      <c r="E450">
        <v>2023</v>
      </c>
      <c r="F450" s="4">
        <v>5562868</v>
      </c>
      <c r="G450" s="5">
        <v>1.84E-2</v>
      </c>
      <c r="H450" s="6">
        <v>102356.77</v>
      </c>
      <c r="I450" t="s">
        <v>1657</v>
      </c>
      <c r="J450" t="s">
        <v>1658</v>
      </c>
      <c r="K450" t="s">
        <v>508</v>
      </c>
      <c r="L450" s="4">
        <v>5646837</v>
      </c>
      <c r="M450" s="7">
        <v>44755</v>
      </c>
    </row>
    <row r="451" spans="1:13">
      <c r="A451" t="s">
        <v>1659</v>
      </c>
      <c r="B451" t="s">
        <v>137</v>
      </c>
      <c r="C451" t="s">
        <v>138</v>
      </c>
      <c r="D451" t="s">
        <v>51</v>
      </c>
      <c r="E451">
        <v>2022</v>
      </c>
      <c r="F451" s="4">
        <v>478378</v>
      </c>
      <c r="G451" s="5">
        <v>1.2699999999999999E-2</v>
      </c>
      <c r="H451" s="6">
        <v>6075.4</v>
      </c>
      <c r="I451" t="s">
        <v>1660</v>
      </c>
      <c r="J451" t="s">
        <v>1661</v>
      </c>
      <c r="K451" t="s">
        <v>373</v>
      </c>
      <c r="L451" s="4">
        <v>506666</v>
      </c>
      <c r="M451" s="7">
        <v>44975</v>
      </c>
    </row>
    <row r="452" spans="1:13">
      <c r="A452" t="s">
        <v>1662</v>
      </c>
      <c r="B452" t="s">
        <v>56</v>
      </c>
      <c r="C452" t="s">
        <v>57</v>
      </c>
      <c r="D452" t="s">
        <v>51</v>
      </c>
      <c r="E452">
        <v>2022</v>
      </c>
      <c r="F452" s="4">
        <v>654243</v>
      </c>
      <c r="G452" s="5">
        <v>1.24E-2</v>
      </c>
      <c r="H452" s="6">
        <v>8112.61</v>
      </c>
      <c r="I452" t="s">
        <v>1663</v>
      </c>
      <c r="J452" t="s">
        <v>1664</v>
      </c>
      <c r="K452" t="s">
        <v>1141</v>
      </c>
      <c r="L452" s="4">
        <v>727059</v>
      </c>
      <c r="M452" s="7">
        <v>44737</v>
      </c>
    </row>
    <row r="453" spans="1:13">
      <c r="A453" t="s">
        <v>1665</v>
      </c>
      <c r="B453" t="s">
        <v>87</v>
      </c>
      <c r="C453" t="s">
        <v>88</v>
      </c>
      <c r="D453" t="s">
        <v>97</v>
      </c>
      <c r="E453">
        <v>2024</v>
      </c>
      <c r="F453" s="4">
        <v>1871849</v>
      </c>
      <c r="G453" s="5">
        <v>2.0500000000000001E-2</v>
      </c>
      <c r="H453" s="6">
        <v>38372.9</v>
      </c>
      <c r="I453" t="s">
        <v>1666</v>
      </c>
      <c r="J453" t="s">
        <v>1667</v>
      </c>
      <c r="K453" t="s">
        <v>1668</v>
      </c>
      <c r="L453" s="4">
        <v>1744350</v>
      </c>
      <c r="M453" s="7">
        <v>45520</v>
      </c>
    </row>
    <row r="454" spans="1:13">
      <c r="A454" t="s">
        <v>1669</v>
      </c>
      <c r="B454" t="s">
        <v>101</v>
      </c>
      <c r="C454" t="s">
        <v>102</v>
      </c>
      <c r="D454" t="s">
        <v>71</v>
      </c>
      <c r="E454">
        <v>2023</v>
      </c>
      <c r="F454" s="4">
        <v>4184259</v>
      </c>
      <c r="G454" s="5">
        <v>1.89E-2</v>
      </c>
      <c r="H454" s="6">
        <v>79082.5</v>
      </c>
      <c r="I454" t="s">
        <v>1670</v>
      </c>
      <c r="J454" t="s">
        <v>1671</v>
      </c>
      <c r="K454" t="s">
        <v>1411</v>
      </c>
      <c r="L454" s="4">
        <v>5062701</v>
      </c>
      <c r="M454" s="7">
        <v>44154</v>
      </c>
    </row>
    <row r="455" spans="1:13">
      <c r="A455" t="s">
        <v>1672</v>
      </c>
      <c r="B455" t="s">
        <v>137</v>
      </c>
      <c r="C455" t="s">
        <v>138</v>
      </c>
      <c r="D455" t="s">
        <v>82</v>
      </c>
      <c r="E455">
        <v>2023</v>
      </c>
      <c r="F455" s="4">
        <v>9079108</v>
      </c>
      <c r="G455" s="5">
        <v>1.4999999999999999E-2</v>
      </c>
      <c r="H455" s="6">
        <v>136186.62</v>
      </c>
      <c r="I455" t="s">
        <v>1673</v>
      </c>
      <c r="J455" t="s">
        <v>1674</v>
      </c>
      <c r="K455" t="s">
        <v>322</v>
      </c>
      <c r="L455" s="4">
        <v>9604131</v>
      </c>
      <c r="M455" s="7">
        <v>44348</v>
      </c>
    </row>
    <row r="456" spans="1:13">
      <c r="A456" t="s">
        <v>1675</v>
      </c>
      <c r="B456" t="s">
        <v>76</v>
      </c>
      <c r="C456" t="s">
        <v>77</v>
      </c>
      <c r="D456" t="s">
        <v>82</v>
      </c>
      <c r="E456">
        <v>2021</v>
      </c>
      <c r="F456" s="4">
        <v>6668533</v>
      </c>
      <c r="G456" s="5">
        <v>1.47E-2</v>
      </c>
      <c r="H456" s="6">
        <v>98027.44</v>
      </c>
      <c r="I456" t="s">
        <v>1676</v>
      </c>
      <c r="J456" t="s">
        <v>1677</v>
      </c>
      <c r="K456" t="s">
        <v>369</v>
      </c>
      <c r="L456" s="4">
        <v>7566141</v>
      </c>
      <c r="M456" s="7">
        <v>45367</v>
      </c>
    </row>
    <row r="457" spans="1:13">
      <c r="A457" t="s">
        <v>1678</v>
      </c>
      <c r="B457" t="s">
        <v>101</v>
      </c>
      <c r="C457" t="s">
        <v>102</v>
      </c>
      <c r="D457" t="s">
        <v>58</v>
      </c>
      <c r="E457">
        <v>2021</v>
      </c>
      <c r="F457" s="4">
        <v>704013</v>
      </c>
      <c r="G457" s="5">
        <v>1.24E-2</v>
      </c>
      <c r="H457" s="6">
        <v>6969.73</v>
      </c>
      <c r="I457" t="s">
        <v>1679</v>
      </c>
      <c r="J457" t="s">
        <v>1680</v>
      </c>
      <c r="K457" t="s">
        <v>1105</v>
      </c>
      <c r="L457" s="4">
        <v>729919</v>
      </c>
      <c r="M457" s="7">
        <v>43783</v>
      </c>
    </row>
    <row r="458" spans="1:13">
      <c r="A458" t="s">
        <v>1681</v>
      </c>
      <c r="B458" t="s">
        <v>63</v>
      </c>
      <c r="C458" t="s">
        <v>64</v>
      </c>
      <c r="D458" t="s">
        <v>71</v>
      </c>
      <c r="E458">
        <v>2022</v>
      </c>
      <c r="F458" s="4">
        <v>4509126</v>
      </c>
      <c r="G458" s="5">
        <v>1.8499999999999999E-2</v>
      </c>
      <c r="H458" s="6">
        <v>83418.83</v>
      </c>
      <c r="I458" t="s">
        <v>1682</v>
      </c>
      <c r="J458" t="s">
        <v>1683</v>
      </c>
      <c r="K458" t="s">
        <v>314</v>
      </c>
      <c r="L458" s="4">
        <v>5277226</v>
      </c>
      <c r="M458" s="7">
        <v>44292</v>
      </c>
    </row>
    <row r="459" spans="1:13">
      <c r="A459" t="s">
        <v>1684</v>
      </c>
      <c r="B459" t="s">
        <v>76</v>
      </c>
      <c r="C459" t="s">
        <v>77</v>
      </c>
      <c r="D459" t="s">
        <v>71</v>
      </c>
      <c r="E459">
        <v>2022</v>
      </c>
      <c r="F459" s="4">
        <v>3034661</v>
      </c>
      <c r="G459" s="5">
        <v>1.84E-2</v>
      </c>
      <c r="H459" s="6">
        <v>55837.760000000002</v>
      </c>
      <c r="I459" t="s">
        <v>1685</v>
      </c>
      <c r="J459" t="s">
        <v>1686</v>
      </c>
      <c r="K459" t="s">
        <v>373</v>
      </c>
      <c r="L459" s="4">
        <v>3597495</v>
      </c>
      <c r="M459" s="7">
        <v>44787</v>
      </c>
    </row>
    <row r="460" spans="1:13">
      <c r="A460" t="s">
        <v>1687</v>
      </c>
      <c r="B460" t="s">
        <v>56</v>
      </c>
      <c r="C460" t="s">
        <v>57</v>
      </c>
      <c r="D460" t="s">
        <v>425</v>
      </c>
      <c r="E460">
        <v>2022</v>
      </c>
      <c r="F460" s="4">
        <v>4757172</v>
      </c>
      <c r="G460" s="5">
        <v>2.0400000000000001E-2</v>
      </c>
      <c r="H460" s="6">
        <v>97046.31</v>
      </c>
      <c r="I460" t="s">
        <v>1688</v>
      </c>
      <c r="J460" t="s">
        <v>1689</v>
      </c>
      <c r="K460" t="s">
        <v>547</v>
      </c>
      <c r="L460" s="4">
        <v>5376968</v>
      </c>
      <c r="M460" s="7">
        <v>44606</v>
      </c>
    </row>
    <row r="461" spans="1:13">
      <c r="A461" t="s">
        <v>1690</v>
      </c>
      <c r="B461" t="s">
        <v>87</v>
      </c>
      <c r="C461" t="s">
        <v>88</v>
      </c>
      <c r="D461" t="s">
        <v>71</v>
      </c>
      <c r="E461">
        <v>2021</v>
      </c>
      <c r="F461" s="4">
        <v>2012692</v>
      </c>
      <c r="G461" s="5">
        <v>1.8499999999999999E-2</v>
      </c>
      <c r="H461" s="6">
        <v>37234.800000000003</v>
      </c>
      <c r="I461" t="s">
        <v>1691</v>
      </c>
      <c r="J461" t="s">
        <v>1692</v>
      </c>
      <c r="K461" t="s">
        <v>533</v>
      </c>
      <c r="L461" s="4">
        <v>2462717</v>
      </c>
      <c r="M461" s="7">
        <v>44010</v>
      </c>
    </row>
    <row r="462" spans="1:13">
      <c r="A462" t="s">
        <v>1693</v>
      </c>
      <c r="B462" t="s">
        <v>150</v>
      </c>
      <c r="C462" t="s">
        <v>151</v>
      </c>
      <c r="D462" t="s">
        <v>97</v>
      </c>
      <c r="E462">
        <v>2023</v>
      </c>
      <c r="F462" s="4">
        <v>5281019</v>
      </c>
      <c r="G462" s="5">
        <v>2.0299999999999999E-2</v>
      </c>
      <c r="H462" s="6">
        <v>107204.69</v>
      </c>
      <c r="I462" t="s">
        <v>1694</v>
      </c>
      <c r="J462" t="s">
        <v>1695</v>
      </c>
      <c r="K462" t="s">
        <v>620</v>
      </c>
      <c r="L462" s="4">
        <v>5189862</v>
      </c>
      <c r="M462" s="7">
        <v>44708</v>
      </c>
    </row>
    <row r="463" spans="1:13">
      <c r="A463" t="s">
        <v>1696</v>
      </c>
      <c r="B463" t="s">
        <v>76</v>
      </c>
      <c r="C463" t="s">
        <v>77</v>
      </c>
      <c r="D463" t="s">
        <v>82</v>
      </c>
      <c r="E463">
        <v>2021</v>
      </c>
      <c r="F463" s="4">
        <v>2604820</v>
      </c>
      <c r="G463" s="5">
        <v>1.47E-2</v>
      </c>
      <c r="H463" s="6">
        <v>38290.85</v>
      </c>
      <c r="I463" t="s">
        <v>1697</v>
      </c>
      <c r="J463" t="s">
        <v>1698</v>
      </c>
      <c r="K463" t="s">
        <v>749</v>
      </c>
      <c r="L463" s="4">
        <v>3066193</v>
      </c>
      <c r="M463" s="7">
        <v>45165</v>
      </c>
    </row>
    <row r="464" spans="1:13">
      <c r="A464" t="s">
        <v>1699</v>
      </c>
      <c r="B464" t="s">
        <v>137</v>
      </c>
      <c r="C464" t="s">
        <v>138</v>
      </c>
      <c r="D464" t="s">
        <v>51</v>
      </c>
      <c r="E464">
        <v>2022</v>
      </c>
      <c r="F464" s="4">
        <v>1096724</v>
      </c>
      <c r="G464" s="5">
        <v>1.2699999999999999E-2</v>
      </c>
      <c r="H464" s="6">
        <v>13928.39</v>
      </c>
      <c r="I464" t="s">
        <v>1700</v>
      </c>
      <c r="J464" t="s">
        <v>1701</v>
      </c>
      <c r="K464" t="s">
        <v>154</v>
      </c>
      <c r="L464" s="4">
        <v>1320953</v>
      </c>
      <c r="M464" s="7">
        <v>43752</v>
      </c>
    </row>
    <row r="465" spans="1:13">
      <c r="A465" t="s">
        <v>1702</v>
      </c>
      <c r="B465" t="s">
        <v>76</v>
      </c>
      <c r="C465" t="s">
        <v>77</v>
      </c>
      <c r="D465" t="s">
        <v>51</v>
      </c>
      <c r="E465">
        <v>2022</v>
      </c>
      <c r="F465" s="4">
        <v>1243908</v>
      </c>
      <c r="G465" s="5">
        <v>1.24E-2</v>
      </c>
      <c r="H465" s="6">
        <v>15574.46</v>
      </c>
      <c r="I465" t="s">
        <v>1703</v>
      </c>
      <c r="J465" t="s">
        <v>1704</v>
      </c>
      <c r="K465" t="s">
        <v>1113</v>
      </c>
      <c r="L465" s="4">
        <v>1304120</v>
      </c>
      <c r="M465" s="7">
        <v>44485</v>
      </c>
    </row>
    <row r="466" spans="1:13">
      <c r="A466" t="s">
        <v>1705</v>
      </c>
      <c r="B466" t="s">
        <v>137</v>
      </c>
      <c r="C466" t="s">
        <v>138</v>
      </c>
      <c r="D466" t="s">
        <v>71</v>
      </c>
      <c r="E466">
        <v>2024</v>
      </c>
      <c r="F466" s="4">
        <v>10200626</v>
      </c>
      <c r="G466" s="5">
        <v>1.8700000000000001E-2</v>
      </c>
      <c r="H466" s="6">
        <v>190651.71</v>
      </c>
      <c r="I466" t="s">
        <v>1706</v>
      </c>
      <c r="J466" t="s">
        <v>1707</v>
      </c>
      <c r="K466" t="s">
        <v>723</v>
      </c>
      <c r="L466" s="4">
        <v>9737084</v>
      </c>
      <c r="M466" s="7">
        <v>45184</v>
      </c>
    </row>
    <row r="467" spans="1:13">
      <c r="A467" t="s">
        <v>1708</v>
      </c>
      <c r="B467" t="s">
        <v>63</v>
      </c>
      <c r="C467" t="s">
        <v>64</v>
      </c>
      <c r="D467" t="s">
        <v>58</v>
      </c>
      <c r="E467">
        <v>2024</v>
      </c>
      <c r="F467" s="4">
        <v>3003869</v>
      </c>
      <c r="G467" s="5">
        <v>9.4999999999999998E-3</v>
      </c>
      <c r="H467" s="6">
        <v>28536.76</v>
      </c>
      <c r="I467" t="s">
        <v>1709</v>
      </c>
      <c r="J467" t="s">
        <v>1710</v>
      </c>
      <c r="K467" t="s">
        <v>1711</v>
      </c>
      <c r="L467" s="4">
        <v>3209020</v>
      </c>
      <c r="M467" s="7">
        <v>44879</v>
      </c>
    </row>
    <row r="468" spans="1:13">
      <c r="A468" t="s">
        <v>1712</v>
      </c>
      <c r="B468" t="s">
        <v>131</v>
      </c>
      <c r="C468" t="s">
        <v>132</v>
      </c>
      <c r="D468" t="s">
        <v>58</v>
      </c>
      <c r="E468">
        <v>2022</v>
      </c>
      <c r="F468" s="4">
        <v>897409</v>
      </c>
      <c r="G468" s="5">
        <v>9.7999999999999997E-3</v>
      </c>
      <c r="H468" s="6">
        <v>8794.61</v>
      </c>
      <c r="I468" t="s">
        <v>1713</v>
      </c>
      <c r="J468" t="s">
        <v>1714</v>
      </c>
      <c r="K468" t="s">
        <v>1246</v>
      </c>
      <c r="L468" s="4">
        <v>1117842</v>
      </c>
      <c r="M468" s="7">
        <v>43757</v>
      </c>
    </row>
    <row r="469" spans="1:13">
      <c r="A469" t="s">
        <v>1715</v>
      </c>
      <c r="B469" t="s">
        <v>69</v>
      </c>
      <c r="C469" t="s">
        <v>70</v>
      </c>
      <c r="D469" t="s">
        <v>51</v>
      </c>
      <c r="E469">
        <v>2021</v>
      </c>
      <c r="F469" s="4">
        <v>691531</v>
      </c>
      <c r="G469" s="5">
        <v>1.26E-2</v>
      </c>
      <c r="H469" s="6">
        <v>8713.2900000000009</v>
      </c>
      <c r="I469" t="s">
        <v>1716</v>
      </c>
      <c r="J469" t="s">
        <v>1717</v>
      </c>
      <c r="K469" t="s">
        <v>141</v>
      </c>
      <c r="L469" s="4">
        <v>681036</v>
      </c>
      <c r="M469" s="7">
        <v>43607</v>
      </c>
    </row>
    <row r="470" spans="1:13">
      <c r="A470" t="s">
        <v>1718</v>
      </c>
      <c r="B470" t="s">
        <v>150</v>
      </c>
      <c r="C470" t="s">
        <v>151</v>
      </c>
      <c r="D470" t="s">
        <v>51</v>
      </c>
      <c r="E470">
        <v>2022</v>
      </c>
      <c r="F470" s="4">
        <v>611477</v>
      </c>
      <c r="G470" s="5">
        <v>1.23E-2</v>
      </c>
      <c r="H470" s="6">
        <v>7521.17</v>
      </c>
      <c r="I470" t="s">
        <v>1719</v>
      </c>
      <c r="J470" t="s">
        <v>1720</v>
      </c>
      <c r="K470" t="s">
        <v>504</v>
      </c>
      <c r="L470" s="4">
        <v>745074</v>
      </c>
      <c r="M470" s="7">
        <v>45198</v>
      </c>
    </row>
    <row r="471" spans="1:13">
      <c r="A471" t="s">
        <v>1721</v>
      </c>
      <c r="B471" t="s">
        <v>678</v>
      </c>
      <c r="C471" t="s">
        <v>132</v>
      </c>
      <c r="D471" t="s">
        <v>58</v>
      </c>
      <c r="E471">
        <v>2023</v>
      </c>
      <c r="F471" s="4">
        <v>2326066</v>
      </c>
      <c r="G471" s="5">
        <v>9.7999999999999997E-3</v>
      </c>
      <c r="H471" s="6">
        <v>22795.45</v>
      </c>
      <c r="I471" t="s">
        <v>1722</v>
      </c>
      <c r="J471" t="s">
        <v>1723</v>
      </c>
      <c r="K471" t="s">
        <v>914</v>
      </c>
      <c r="L471" s="4">
        <v>2702660</v>
      </c>
      <c r="M471" s="7">
        <v>45262</v>
      </c>
    </row>
    <row r="472" spans="1:13">
      <c r="A472" t="s">
        <v>1724</v>
      </c>
      <c r="B472" t="s">
        <v>137</v>
      </c>
      <c r="C472" t="s">
        <v>138</v>
      </c>
      <c r="D472" t="s">
        <v>51</v>
      </c>
      <c r="E472">
        <v>2022</v>
      </c>
      <c r="F472" s="4">
        <v>1058314</v>
      </c>
      <c r="G472" s="5">
        <v>1.2699999999999999E-2</v>
      </c>
      <c r="H472" s="6">
        <v>13440.59</v>
      </c>
      <c r="I472" t="s">
        <v>1725</v>
      </c>
      <c r="J472" t="s">
        <v>1726</v>
      </c>
      <c r="K472" t="s">
        <v>969</v>
      </c>
      <c r="L472" s="4">
        <v>1019891</v>
      </c>
      <c r="M472" s="7">
        <v>43917</v>
      </c>
    </row>
    <row r="473" spans="1:13">
      <c r="A473" t="s">
        <v>1727</v>
      </c>
      <c r="B473" t="s">
        <v>101</v>
      </c>
      <c r="C473" t="s">
        <v>102</v>
      </c>
      <c r="D473" t="s">
        <v>82</v>
      </c>
      <c r="E473">
        <v>2022</v>
      </c>
      <c r="F473" s="4">
        <v>4052668</v>
      </c>
      <c r="G473" s="5">
        <v>1.52E-2</v>
      </c>
      <c r="H473" s="6">
        <v>61600.55</v>
      </c>
      <c r="I473" t="s">
        <v>1728</v>
      </c>
      <c r="J473" t="s">
        <v>1729</v>
      </c>
      <c r="K473" t="s">
        <v>620</v>
      </c>
      <c r="L473" s="4">
        <v>3738553</v>
      </c>
      <c r="M473" s="7">
        <v>43587</v>
      </c>
    </row>
    <row r="474" spans="1:13">
      <c r="A474" t="s">
        <v>1730</v>
      </c>
      <c r="B474" t="s">
        <v>87</v>
      </c>
      <c r="C474" t="s">
        <v>88</v>
      </c>
      <c r="D474" t="s">
        <v>97</v>
      </c>
      <c r="E474">
        <v>2024</v>
      </c>
      <c r="F474" s="4">
        <v>2520312</v>
      </c>
      <c r="G474" s="5">
        <v>2.0500000000000001E-2</v>
      </c>
      <c r="H474" s="6">
        <v>51666.400000000001</v>
      </c>
      <c r="I474" t="s">
        <v>1731</v>
      </c>
      <c r="J474" t="s">
        <v>1732</v>
      </c>
      <c r="K474" t="s">
        <v>85</v>
      </c>
      <c r="L474" s="4">
        <v>2727043</v>
      </c>
      <c r="M474" s="7">
        <v>44741</v>
      </c>
    </row>
    <row r="475" spans="1:13">
      <c r="A475" t="s">
        <v>1733</v>
      </c>
      <c r="B475" t="s">
        <v>101</v>
      </c>
      <c r="C475" t="s">
        <v>102</v>
      </c>
      <c r="D475" t="s">
        <v>58</v>
      </c>
      <c r="E475">
        <v>2023</v>
      </c>
      <c r="F475" s="4">
        <v>2036799</v>
      </c>
      <c r="G475" s="5">
        <v>9.9000000000000008E-3</v>
      </c>
      <c r="H475" s="6">
        <v>20164.310000000001</v>
      </c>
      <c r="I475" t="s">
        <v>1734</v>
      </c>
      <c r="J475" t="s">
        <v>1735</v>
      </c>
      <c r="K475" t="s">
        <v>1516</v>
      </c>
      <c r="L475" s="4">
        <v>1835318</v>
      </c>
      <c r="M475" s="7">
        <v>45613</v>
      </c>
    </row>
    <row r="476" spans="1:13">
      <c r="A476" t="s">
        <v>1736</v>
      </c>
      <c r="B476" t="s">
        <v>69</v>
      </c>
      <c r="C476" t="s">
        <v>70</v>
      </c>
      <c r="D476" t="s">
        <v>97</v>
      </c>
      <c r="E476">
        <v>2021</v>
      </c>
      <c r="F476" s="4">
        <v>2940082</v>
      </c>
      <c r="G476" s="5">
        <v>2.06E-2</v>
      </c>
      <c r="H476" s="6">
        <v>60565.69</v>
      </c>
      <c r="I476" t="s">
        <v>1737</v>
      </c>
      <c r="J476" t="s">
        <v>1738</v>
      </c>
      <c r="K476" t="s">
        <v>608</v>
      </c>
      <c r="L476" s="4">
        <v>2693156</v>
      </c>
      <c r="M476" s="7">
        <v>44799</v>
      </c>
    </row>
    <row r="477" spans="1:13">
      <c r="A477" t="s">
        <v>1739</v>
      </c>
      <c r="B477" t="s">
        <v>101</v>
      </c>
      <c r="C477" t="s">
        <v>102</v>
      </c>
      <c r="D477" t="s">
        <v>97</v>
      </c>
      <c r="E477">
        <v>2024</v>
      </c>
      <c r="F477" s="4">
        <v>2243923</v>
      </c>
      <c r="G477" s="5">
        <v>2.0899999999999998E-2</v>
      </c>
      <c r="H477" s="6">
        <v>47197.99</v>
      </c>
      <c r="I477" t="s">
        <v>1740</v>
      </c>
      <c r="J477" t="s">
        <v>1741</v>
      </c>
      <c r="K477" t="s">
        <v>688</v>
      </c>
      <c r="L477" s="4">
        <v>2635940</v>
      </c>
      <c r="M477" s="7">
        <v>45664</v>
      </c>
    </row>
    <row r="478" spans="1:13">
      <c r="A478" t="s">
        <v>1742</v>
      </c>
      <c r="B478" t="s">
        <v>56</v>
      </c>
      <c r="C478" t="s">
        <v>57</v>
      </c>
      <c r="D478" t="s">
        <v>51</v>
      </c>
      <c r="E478">
        <v>2022</v>
      </c>
      <c r="F478" s="4">
        <v>769620</v>
      </c>
      <c r="G478" s="5">
        <v>1.24E-2</v>
      </c>
      <c r="H478" s="6">
        <v>9543.2900000000009</v>
      </c>
      <c r="I478" t="s">
        <v>1743</v>
      </c>
      <c r="J478" t="s">
        <v>1744</v>
      </c>
      <c r="K478" t="s">
        <v>95</v>
      </c>
      <c r="L478" s="4">
        <v>809804</v>
      </c>
      <c r="M478" s="7">
        <v>43585</v>
      </c>
    </row>
    <row r="479" spans="1:13">
      <c r="A479" t="s">
        <v>1745</v>
      </c>
      <c r="B479" t="s">
        <v>131</v>
      </c>
      <c r="C479" t="s">
        <v>132</v>
      </c>
      <c r="D479" t="s">
        <v>71</v>
      </c>
      <c r="E479">
        <v>2024</v>
      </c>
      <c r="F479" s="4">
        <v>7158110</v>
      </c>
      <c r="G479" s="5">
        <v>1.8800000000000001E-2</v>
      </c>
      <c r="H479" s="6">
        <v>134472.47</v>
      </c>
      <c r="I479" t="s">
        <v>1746</v>
      </c>
      <c r="J479" t="s">
        <v>1747</v>
      </c>
      <c r="K479" t="s">
        <v>688</v>
      </c>
      <c r="L479" s="4">
        <v>8362234</v>
      </c>
      <c r="M479" s="7">
        <v>45427</v>
      </c>
    </row>
    <row r="480" spans="1:13">
      <c r="A480" t="s">
        <v>1748</v>
      </c>
      <c r="B480" t="s">
        <v>49</v>
      </c>
      <c r="C480" t="s">
        <v>50</v>
      </c>
      <c r="D480" t="s">
        <v>71</v>
      </c>
      <c r="E480">
        <v>2024</v>
      </c>
      <c r="F480" s="4">
        <v>8997995</v>
      </c>
      <c r="G480" s="5">
        <v>1.8100000000000002E-2</v>
      </c>
      <c r="H480" s="6">
        <v>162863.71</v>
      </c>
      <c r="I480" t="s">
        <v>1749</v>
      </c>
      <c r="J480" t="s">
        <v>1168</v>
      </c>
      <c r="K480" t="s">
        <v>478</v>
      </c>
      <c r="L480" s="4">
        <v>11064859</v>
      </c>
      <c r="M480" s="7">
        <v>45370</v>
      </c>
    </row>
    <row r="481" spans="1:13">
      <c r="A481" t="s">
        <v>1750</v>
      </c>
      <c r="B481" t="s">
        <v>150</v>
      </c>
      <c r="C481" t="s">
        <v>151</v>
      </c>
      <c r="D481" t="s">
        <v>97</v>
      </c>
      <c r="E481">
        <v>2023</v>
      </c>
      <c r="F481" s="4">
        <v>4960622</v>
      </c>
      <c r="G481" s="5">
        <v>2.0299999999999999E-2</v>
      </c>
      <c r="H481" s="6">
        <v>100700.63</v>
      </c>
      <c r="I481" t="s">
        <v>1751</v>
      </c>
      <c r="J481" t="s">
        <v>1752</v>
      </c>
      <c r="K481" t="s">
        <v>547</v>
      </c>
      <c r="L481" s="4">
        <v>5150908</v>
      </c>
      <c r="M481" s="7">
        <v>44933</v>
      </c>
    </row>
    <row r="482" spans="1:13">
      <c r="A482" t="s">
        <v>1753</v>
      </c>
      <c r="B482" t="s">
        <v>101</v>
      </c>
      <c r="C482" t="s">
        <v>102</v>
      </c>
      <c r="D482" t="s">
        <v>71</v>
      </c>
      <c r="E482">
        <v>2022</v>
      </c>
      <c r="F482" s="4">
        <v>7705348</v>
      </c>
      <c r="G482" s="5">
        <v>1.89E-2</v>
      </c>
      <c r="H482" s="6">
        <v>145631.07999999999</v>
      </c>
      <c r="I482" t="s">
        <v>1754</v>
      </c>
      <c r="J482" t="s">
        <v>1755</v>
      </c>
      <c r="K482" t="s">
        <v>1756</v>
      </c>
      <c r="L482" s="4">
        <v>7267780</v>
      </c>
      <c r="M482" s="7">
        <v>45425</v>
      </c>
    </row>
    <row r="483" spans="1:13">
      <c r="A483" t="s">
        <v>1757</v>
      </c>
      <c r="B483" t="s">
        <v>76</v>
      </c>
      <c r="C483" t="s">
        <v>77</v>
      </c>
      <c r="D483" t="s">
        <v>58</v>
      </c>
      <c r="E483">
        <v>2023</v>
      </c>
      <c r="F483" s="4">
        <v>2369906</v>
      </c>
      <c r="G483" s="5">
        <v>9.4000000000000004E-3</v>
      </c>
      <c r="H483" s="6">
        <v>22277.119999999999</v>
      </c>
      <c r="I483" t="s">
        <v>1758</v>
      </c>
      <c r="J483" t="s">
        <v>1759</v>
      </c>
      <c r="K483" t="s">
        <v>1760</v>
      </c>
      <c r="L483" s="4">
        <v>2587416</v>
      </c>
      <c r="M483" s="7">
        <v>44522</v>
      </c>
    </row>
    <row r="484" spans="1:13">
      <c r="A484" t="s">
        <v>1761</v>
      </c>
      <c r="B484" t="s">
        <v>69</v>
      </c>
      <c r="C484" t="s">
        <v>70</v>
      </c>
      <c r="D484" t="s">
        <v>58</v>
      </c>
      <c r="E484">
        <v>2023</v>
      </c>
      <c r="F484" s="4">
        <v>2572386</v>
      </c>
      <c r="G484" s="5">
        <v>9.5999999999999992E-3</v>
      </c>
      <c r="H484" s="6">
        <v>24694.91</v>
      </c>
      <c r="I484" t="s">
        <v>1762</v>
      </c>
      <c r="J484" t="s">
        <v>1763</v>
      </c>
      <c r="K484" t="s">
        <v>1764</v>
      </c>
      <c r="L484" s="4">
        <v>3156578</v>
      </c>
      <c r="M484" s="7">
        <v>44453</v>
      </c>
    </row>
    <row r="485" spans="1:13">
      <c r="A485" t="s">
        <v>420</v>
      </c>
      <c r="B485" t="s">
        <v>101</v>
      </c>
      <c r="C485" t="s">
        <v>102</v>
      </c>
      <c r="D485" t="s">
        <v>97</v>
      </c>
      <c r="E485">
        <v>2022</v>
      </c>
      <c r="F485" s="4">
        <v>2376894</v>
      </c>
      <c r="G485" s="5">
        <v>2.0899999999999998E-2</v>
      </c>
      <c r="H485" s="6">
        <v>49677.08</v>
      </c>
      <c r="I485" t="s">
        <v>1765</v>
      </c>
      <c r="J485" t="s">
        <v>1766</v>
      </c>
      <c r="K485" t="s">
        <v>490</v>
      </c>
      <c r="L485" s="4">
        <v>2186068</v>
      </c>
      <c r="M485" s="7">
        <v>44922</v>
      </c>
    </row>
    <row r="486" spans="1:13">
      <c r="A486" t="s">
        <v>1767</v>
      </c>
      <c r="B486" t="s">
        <v>101</v>
      </c>
      <c r="C486" t="s">
        <v>88</v>
      </c>
      <c r="D486" t="s">
        <v>97</v>
      </c>
      <c r="E486">
        <v>2021</v>
      </c>
      <c r="F486" s="4">
        <v>1359166</v>
      </c>
      <c r="G486" s="5">
        <v>2.0899999999999998E-2</v>
      </c>
      <c r="H486" s="6">
        <v>28406.57</v>
      </c>
      <c r="I486" t="s">
        <v>1768</v>
      </c>
      <c r="J486" t="s">
        <v>1769</v>
      </c>
      <c r="K486" t="s">
        <v>906</v>
      </c>
      <c r="L486" s="4">
        <v>1506845</v>
      </c>
      <c r="M486" s="7">
        <v>44172</v>
      </c>
    </row>
    <row r="487" spans="1:13">
      <c r="A487" t="s">
        <v>1770</v>
      </c>
      <c r="B487" t="s">
        <v>69</v>
      </c>
      <c r="C487" t="s">
        <v>70</v>
      </c>
      <c r="D487" t="s">
        <v>51</v>
      </c>
      <c r="E487">
        <v>2024</v>
      </c>
      <c r="F487" s="4">
        <v>1121122</v>
      </c>
      <c r="G487" s="5">
        <v>1.26E-2</v>
      </c>
      <c r="H487" s="6">
        <v>14126.14</v>
      </c>
      <c r="I487" t="s">
        <v>1771</v>
      </c>
      <c r="J487" t="s">
        <v>1772</v>
      </c>
      <c r="K487" t="s">
        <v>1773</v>
      </c>
      <c r="L487" s="4">
        <v>1018045</v>
      </c>
      <c r="M487" s="7">
        <v>45370</v>
      </c>
    </row>
    <row r="488" spans="1:13">
      <c r="A488" t="s">
        <v>1774</v>
      </c>
      <c r="B488" t="s">
        <v>87</v>
      </c>
      <c r="C488" t="s">
        <v>88</v>
      </c>
      <c r="D488" t="s">
        <v>58</v>
      </c>
      <c r="E488">
        <v>2023</v>
      </c>
      <c r="F488" s="4">
        <v>2332739</v>
      </c>
      <c r="G488" s="5">
        <v>9.4999999999999998E-3</v>
      </c>
      <c r="H488" s="6">
        <v>22161.02</v>
      </c>
      <c r="I488" t="s">
        <v>1775</v>
      </c>
      <c r="J488" t="s">
        <v>1776</v>
      </c>
      <c r="K488" t="s">
        <v>162</v>
      </c>
      <c r="L488" s="4">
        <v>2430401</v>
      </c>
      <c r="M488" s="7">
        <v>45266</v>
      </c>
    </row>
    <row r="489" spans="1:13">
      <c r="A489" t="s">
        <v>1777</v>
      </c>
      <c r="B489" t="s">
        <v>602</v>
      </c>
      <c r="C489" t="s">
        <v>50</v>
      </c>
      <c r="D489" t="s">
        <v>58</v>
      </c>
      <c r="E489">
        <v>2024</v>
      </c>
      <c r="F489" s="4">
        <v>641153</v>
      </c>
      <c r="G489" s="5">
        <v>9.4999999999999998E-3</v>
      </c>
      <c r="H489" s="6">
        <v>6090.95</v>
      </c>
      <c r="I489" t="s">
        <v>1778</v>
      </c>
      <c r="J489" t="s">
        <v>1779</v>
      </c>
      <c r="K489" t="s">
        <v>1780</v>
      </c>
      <c r="L489" s="4">
        <v>605944</v>
      </c>
      <c r="M489" s="7">
        <v>44619</v>
      </c>
    </row>
    <row r="490" spans="1:13">
      <c r="A490" t="s">
        <v>1781</v>
      </c>
      <c r="B490" t="s">
        <v>131</v>
      </c>
      <c r="C490" t="s">
        <v>132</v>
      </c>
      <c r="D490" t="s">
        <v>51</v>
      </c>
      <c r="E490">
        <v>2023</v>
      </c>
      <c r="F490" s="4">
        <v>1102716</v>
      </c>
      <c r="G490" s="5">
        <v>1.2800000000000001E-2</v>
      </c>
      <c r="H490" s="6">
        <v>14114.76</v>
      </c>
      <c r="I490" t="s">
        <v>1782</v>
      </c>
      <c r="J490" t="s">
        <v>1783</v>
      </c>
      <c r="K490" t="s">
        <v>1208</v>
      </c>
      <c r="L490" s="4">
        <v>1294567</v>
      </c>
      <c r="M490" s="7">
        <v>45180</v>
      </c>
    </row>
    <row r="491" spans="1:13">
      <c r="A491" t="s">
        <v>1784</v>
      </c>
      <c r="B491" t="s">
        <v>56</v>
      </c>
      <c r="C491" t="s">
        <v>57</v>
      </c>
      <c r="D491" t="s">
        <v>58</v>
      </c>
      <c r="E491">
        <v>2022</v>
      </c>
      <c r="F491" s="4">
        <v>1953231</v>
      </c>
      <c r="G491" s="5">
        <v>9.4000000000000004E-3</v>
      </c>
      <c r="H491" s="6">
        <v>18360.37</v>
      </c>
      <c r="I491" t="s">
        <v>1785</v>
      </c>
      <c r="J491" t="s">
        <v>1786</v>
      </c>
      <c r="K491" t="s">
        <v>1787</v>
      </c>
      <c r="L491" s="4">
        <v>2327118</v>
      </c>
      <c r="M491" s="7">
        <v>44015</v>
      </c>
    </row>
    <row r="492" spans="1:13">
      <c r="A492" t="s">
        <v>1788</v>
      </c>
      <c r="B492" t="s">
        <v>87</v>
      </c>
      <c r="C492" t="s">
        <v>88</v>
      </c>
      <c r="D492" t="s">
        <v>82</v>
      </c>
      <c r="E492">
        <v>2022</v>
      </c>
      <c r="F492" s="4">
        <v>8127934</v>
      </c>
      <c r="G492" s="5">
        <v>1.4800000000000001E-2</v>
      </c>
      <c r="H492" s="6">
        <v>120293.42</v>
      </c>
      <c r="I492" t="s">
        <v>1789</v>
      </c>
      <c r="J492" t="s">
        <v>1790</v>
      </c>
      <c r="K492" t="s">
        <v>80</v>
      </c>
      <c r="L492" s="4">
        <v>9989798</v>
      </c>
      <c r="M492" s="7">
        <v>44052</v>
      </c>
    </row>
    <row r="493" spans="1:13">
      <c r="A493" t="s">
        <v>1791</v>
      </c>
      <c r="B493" t="s">
        <v>56</v>
      </c>
      <c r="C493" t="s">
        <v>57</v>
      </c>
      <c r="D493" t="s">
        <v>97</v>
      </c>
      <c r="E493">
        <v>2021</v>
      </c>
      <c r="F493" s="4">
        <v>3048296</v>
      </c>
      <c r="G493" s="5">
        <v>2.0400000000000001E-2</v>
      </c>
      <c r="H493" s="6">
        <v>62185.24</v>
      </c>
      <c r="I493" t="s">
        <v>1792</v>
      </c>
      <c r="J493" t="s">
        <v>1793</v>
      </c>
      <c r="K493" t="s">
        <v>1794</v>
      </c>
      <c r="L493" s="4">
        <v>2771110</v>
      </c>
      <c r="M493" s="7">
        <v>44479</v>
      </c>
    </row>
    <row r="494" spans="1:13">
      <c r="A494" t="s">
        <v>1795</v>
      </c>
      <c r="B494" t="s">
        <v>49</v>
      </c>
      <c r="C494" t="s">
        <v>50</v>
      </c>
      <c r="D494" t="s">
        <v>71</v>
      </c>
      <c r="E494">
        <v>2021</v>
      </c>
      <c r="F494" s="4">
        <v>5144133</v>
      </c>
      <c r="G494" s="5">
        <v>1.8100000000000002E-2</v>
      </c>
      <c r="H494" s="6">
        <v>93108.81</v>
      </c>
      <c r="I494" t="s">
        <v>1796</v>
      </c>
      <c r="J494" t="s">
        <v>1797</v>
      </c>
      <c r="K494" t="s">
        <v>326</v>
      </c>
      <c r="L494" s="4">
        <v>6393230</v>
      </c>
      <c r="M494" s="7">
        <v>44376</v>
      </c>
    </row>
    <row r="495" spans="1:13">
      <c r="A495" t="s">
        <v>1798</v>
      </c>
      <c r="B495" t="s">
        <v>69</v>
      </c>
      <c r="C495" t="s">
        <v>70</v>
      </c>
      <c r="D495" t="s">
        <v>51</v>
      </c>
      <c r="E495">
        <v>2021</v>
      </c>
      <c r="F495" s="4">
        <v>546421</v>
      </c>
      <c r="G495" s="5">
        <v>1.26E-2</v>
      </c>
      <c r="H495" s="6">
        <v>6884.9</v>
      </c>
      <c r="I495" t="s">
        <v>1799</v>
      </c>
      <c r="J495" t="s">
        <v>1800</v>
      </c>
      <c r="K495" t="s">
        <v>769</v>
      </c>
      <c r="L495" s="4">
        <v>557792</v>
      </c>
      <c r="M495" s="7">
        <v>45643</v>
      </c>
    </row>
    <row r="496" spans="1:13">
      <c r="A496" t="s">
        <v>1801</v>
      </c>
      <c r="B496" t="s">
        <v>56</v>
      </c>
      <c r="C496" t="s">
        <v>57</v>
      </c>
      <c r="D496" t="s">
        <v>82</v>
      </c>
      <c r="E496">
        <v>2024</v>
      </c>
      <c r="F496" s="4">
        <v>6824402</v>
      </c>
      <c r="G496" s="5">
        <v>1.47E-2</v>
      </c>
      <c r="H496" s="6">
        <v>100318.71</v>
      </c>
      <c r="I496" t="s">
        <v>1802</v>
      </c>
      <c r="J496" t="s">
        <v>1803</v>
      </c>
      <c r="K496" t="s">
        <v>99</v>
      </c>
      <c r="L496" s="4">
        <v>7831860</v>
      </c>
      <c r="M496" s="7">
        <v>44707</v>
      </c>
    </row>
    <row r="497" spans="1:13">
      <c r="A497" t="s">
        <v>1804</v>
      </c>
      <c r="B497" t="s">
        <v>87</v>
      </c>
      <c r="C497" t="s">
        <v>88</v>
      </c>
      <c r="D497" t="s">
        <v>58</v>
      </c>
      <c r="E497">
        <v>2024</v>
      </c>
      <c r="F497" s="4">
        <v>960521</v>
      </c>
      <c r="G497" s="5">
        <v>9.4999999999999998E-3</v>
      </c>
      <c r="H497" s="6">
        <v>9124.9500000000007</v>
      </c>
      <c r="I497" t="s">
        <v>1805</v>
      </c>
      <c r="J497" t="s">
        <v>1806</v>
      </c>
      <c r="K497" t="s">
        <v>1260</v>
      </c>
      <c r="L497" s="4">
        <v>894773</v>
      </c>
      <c r="M497" s="7">
        <v>44359</v>
      </c>
    </row>
    <row r="498" spans="1:13">
      <c r="A498" t="s">
        <v>1807</v>
      </c>
      <c r="B498" t="s">
        <v>49</v>
      </c>
      <c r="C498" t="s">
        <v>50</v>
      </c>
      <c r="D498" t="s">
        <v>97</v>
      </c>
      <c r="E498">
        <v>2021</v>
      </c>
      <c r="F498" s="4">
        <v>1537755</v>
      </c>
      <c r="G498" s="5">
        <v>2.01E-2</v>
      </c>
      <c r="H498" s="6">
        <v>30908.880000000001</v>
      </c>
      <c r="I498" t="s">
        <v>1808</v>
      </c>
      <c r="J498" t="s">
        <v>1809</v>
      </c>
      <c r="K498" t="s">
        <v>1105</v>
      </c>
      <c r="L498" s="4">
        <v>1451090</v>
      </c>
      <c r="M498" s="7">
        <v>43522</v>
      </c>
    </row>
    <row r="499" spans="1:13">
      <c r="A499" t="s">
        <v>1810</v>
      </c>
      <c r="B499" t="s">
        <v>87</v>
      </c>
      <c r="C499" t="s">
        <v>88</v>
      </c>
      <c r="D499" t="s">
        <v>97</v>
      </c>
      <c r="E499">
        <v>2021</v>
      </c>
      <c r="F499" s="4">
        <v>3407134</v>
      </c>
      <c r="G499" s="5">
        <v>2.0500000000000001E-2</v>
      </c>
      <c r="H499" s="6">
        <v>69846.25</v>
      </c>
      <c r="I499" t="s">
        <v>1811</v>
      </c>
      <c r="J499" t="s">
        <v>1812</v>
      </c>
      <c r="K499" t="s">
        <v>1208</v>
      </c>
      <c r="L499" s="4">
        <v>3334814</v>
      </c>
      <c r="M499" s="7">
        <v>43773</v>
      </c>
    </row>
    <row r="500" spans="1:13">
      <c r="A500" t="s">
        <v>1813</v>
      </c>
      <c r="B500" t="s">
        <v>150</v>
      </c>
      <c r="C500" t="s">
        <v>151</v>
      </c>
      <c r="D500" t="s">
        <v>97</v>
      </c>
      <c r="E500">
        <v>2023</v>
      </c>
      <c r="F500" s="4">
        <v>4942841</v>
      </c>
      <c r="G500" s="5">
        <v>2.0299999999999999E-2</v>
      </c>
      <c r="H500" s="6">
        <v>100339.67</v>
      </c>
      <c r="I500" t="s">
        <v>1814</v>
      </c>
      <c r="J500" t="s">
        <v>1815</v>
      </c>
      <c r="K500" t="s">
        <v>627</v>
      </c>
      <c r="L500" s="4">
        <v>4817160</v>
      </c>
      <c r="M500" s="7">
        <v>45342</v>
      </c>
    </row>
    <row r="501" spans="1:13">
      <c r="A501" t="s">
        <v>1816</v>
      </c>
      <c r="B501" t="s">
        <v>87</v>
      </c>
      <c r="C501" t="s">
        <v>88</v>
      </c>
      <c r="D501" t="s">
        <v>58</v>
      </c>
      <c r="E501">
        <v>2022</v>
      </c>
      <c r="F501" s="4">
        <v>3413718</v>
      </c>
      <c r="G501" s="5">
        <v>9.4999999999999998E-3</v>
      </c>
      <c r="H501" s="6">
        <v>32430.32</v>
      </c>
      <c r="I501" t="s">
        <v>1817</v>
      </c>
      <c r="J501" t="s">
        <v>1818</v>
      </c>
      <c r="K501" t="s">
        <v>642</v>
      </c>
      <c r="L501" s="4">
        <v>3490194</v>
      </c>
      <c r="M501" s="7">
        <v>44228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election activeCell="H13" sqref="H13"/>
    </sheetView>
  </sheetViews>
  <sheetFormatPr defaultRowHeight="14.5"/>
  <cols>
    <col min="1" max="2" width="19" customWidth="1"/>
  </cols>
  <sheetData>
    <row r="1" spans="1:2">
      <c r="A1" s="3" t="s">
        <v>36</v>
      </c>
      <c r="B1" s="3" t="s">
        <v>37</v>
      </c>
    </row>
    <row r="2" spans="1:2">
      <c r="A2" t="s">
        <v>63</v>
      </c>
      <c r="B2" t="s">
        <v>64</v>
      </c>
    </row>
    <row r="3" spans="1:2">
      <c r="A3" t="s">
        <v>49</v>
      </c>
      <c r="B3" t="s">
        <v>50</v>
      </c>
    </row>
    <row r="4" spans="1:2">
      <c r="A4" t="s">
        <v>131</v>
      </c>
      <c r="B4" t="s">
        <v>132</v>
      </c>
    </row>
    <row r="5" spans="1:2">
      <c r="A5" t="s">
        <v>76</v>
      </c>
      <c r="B5" t="s">
        <v>77</v>
      </c>
    </row>
    <row r="6" spans="1:2">
      <c r="A6" t="s">
        <v>137</v>
      </c>
      <c r="B6" t="s">
        <v>138</v>
      </c>
    </row>
    <row r="7" spans="1:2">
      <c r="A7" t="s">
        <v>150</v>
      </c>
      <c r="B7" t="s">
        <v>151</v>
      </c>
    </row>
    <row r="8" spans="1:2">
      <c r="A8" t="s">
        <v>69</v>
      </c>
      <c r="B8" t="s">
        <v>70</v>
      </c>
    </row>
    <row r="9" spans="1:2">
      <c r="A9" t="s">
        <v>101</v>
      </c>
      <c r="B9" t="s">
        <v>102</v>
      </c>
    </row>
    <row r="10" spans="1:2">
      <c r="A10" t="s">
        <v>56</v>
      </c>
      <c r="B10" t="s">
        <v>57</v>
      </c>
    </row>
    <row r="11" spans="1:2">
      <c r="A11" t="s">
        <v>87</v>
      </c>
      <c r="B11" t="s">
        <v>88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election activeCell="A5" sqref="A5"/>
    </sheetView>
  </sheetViews>
  <sheetFormatPr defaultRowHeight="14.5"/>
  <cols>
    <col min="1" max="1" width="19" customWidth="1"/>
    <col min="2" max="2" width="30" customWidth="1"/>
  </cols>
  <sheetData>
    <row r="1" spans="1:2">
      <c r="A1" s="3" t="s">
        <v>38</v>
      </c>
      <c r="B1" s="3" t="s">
        <v>1819</v>
      </c>
    </row>
    <row r="2" spans="1:2">
      <c r="A2" t="s">
        <v>51</v>
      </c>
      <c r="B2" t="s">
        <v>1820</v>
      </c>
    </row>
    <row r="3" spans="1:2">
      <c r="A3" t="s">
        <v>97</v>
      </c>
      <c r="B3" t="s">
        <v>1821</v>
      </c>
    </row>
    <row r="4" spans="1:2">
      <c r="A4" t="s">
        <v>71</v>
      </c>
      <c r="B4" t="s">
        <v>1822</v>
      </c>
    </row>
    <row r="5" spans="1:2">
      <c r="A5" t="s">
        <v>58</v>
      </c>
      <c r="B5" t="s">
        <v>1823</v>
      </c>
    </row>
    <row r="6" spans="1:2">
      <c r="A6" t="s">
        <v>82</v>
      </c>
      <c r="B6" t="s">
        <v>1824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1"/>
  <sheetViews>
    <sheetView workbookViewId="0">
      <selection activeCell="I18" sqref="I18"/>
    </sheetView>
  </sheetViews>
  <sheetFormatPr defaultRowHeight="14.5"/>
  <cols>
    <col min="1" max="2" width="19" customWidth="1"/>
    <col min="3" max="3" width="12" customWidth="1"/>
  </cols>
  <sheetData>
    <row r="1" spans="1:3">
      <c r="A1" s="3" t="s">
        <v>36</v>
      </c>
      <c r="B1" s="3" t="s">
        <v>38</v>
      </c>
      <c r="C1" s="3" t="s">
        <v>41</v>
      </c>
    </row>
    <row r="2" spans="1:3">
      <c r="A2" t="s">
        <v>63</v>
      </c>
      <c r="B2" t="s">
        <v>51</v>
      </c>
      <c r="C2">
        <v>1.2500000000000001E-2</v>
      </c>
    </row>
    <row r="3" spans="1:3">
      <c r="A3" t="s">
        <v>63</v>
      </c>
      <c r="B3" t="s">
        <v>97</v>
      </c>
      <c r="C3">
        <v>2.0500000000000001E-2</v>
      </c>
    </row>
    <row r="4" spans="1:3">
      <c r="A4" t="s">
        <v>63</v>
      </c>
      <c r="B4" t="s">
        <v>71</v>
      </c>
      <c r="C4">
        <v>1.8499999999999999E-2</v>
      </c>
    </row>
    <row r="5" spans="1:3">
      <c r="A5" t="s">
        <v>63</v>
      </c>
      <c r="B5" t="s">
        <v>58</v>
      </c>
      <c r="C5">
        <v>9.4999999999999998E-3</v>
      </c>
    </row>
    <row r="6" spans="1:3">
      <c r="A6" t="s">
        <v>63</v>
      </c>
      <c r="B6" t="s">
        <v>82</v>
      </c>
      <c r="C6">
        <v>1.4800000000000001E-2</v>
      </c>
    </row>
    <row r="7" spans="1:3">
      <c r="A7" t="s">
        <v>49</v>
      </c>
      <c r="B7" t="s">
        <v>51</v>
      </c>
      <c r="C7">
        <v>1.21E-2</v>
      </c>
    </row>
    <row r="8" spans="1:3">
      <c r="A8" t="s">
        <v>49</v>
      </c>
      <c r="B8" t="s">
        <v>97</v>
      </c>
      <c r="C8">
        <v>2.01E-2</v>
      </c>
    </row>
    <row r="9" spans="1:3">
      <c r="A9" t="s">
        <v>49</v>
      </c>
      <c r="B9" t="s">
        <v>71</v>
      </c>
      <c r="C9">
        <v>1.8100000000000002E-2</v>
      </c>
    </row>
    <row r="10" spans="1:3">
      <c r="A10" t="s">
        <v>49</v>
      </c>
      <c r="B10" t="s">
        <v>58</v>
      </c>
      <c r="C10">
        <v>9.1000000000000004E-3</v>
      </c>
    </row>
    <row r="11" spans="1:3">
      <c r="A11" t="s">
        <v>49</v>
      </c>
      <c r="B11" t="s">
        <v>82</v>
      </c>
      <c r="C11">
        <v>1.44E-2</v>
      </c>
    </row>
    <row r="12" spans="1:3">
      <c r="A12" t="s">
        <v>131</v>
      </c>
      <c r="B12" t="s">
        <v>51</v>
      </c>
      <c r="C12">
        <v>1.2800000000000001E-2</v>
      </c>
    </row>
    <row r="13" spans="1:3">
      <c r="A13" t="s">
        <v>131</v>
      </c>
      <c r="B13" t="s">
        <v>97</v>
      </c>
      <c r="C13">
        <v>2.0799999999999999E-2</v>
      </c>
    </row>
    <row r="14" spans="1:3">
      <c r="A14" t="s">
        <v>131</v>
      </c>
      <c r="B14" t="s">
        <v>71</v>
      </c>
      <c r="C14">
        <v>1.8800000000000001E-2</v>
      </c>
    </row>
    <row r="15" spans="1:3">
      <c r="A15" t="s">
        <v>131</v>
      </c>
      <c r="B15" t="s">
        <v>58</v>
      </c>
      <c r="C15">
        <v>9.7999999999999997E-3</v>
      </c>
    </row>
    <row r="16" spans="1:3">
      <c r="A16" t="s">
        <v>131</v>
      </c>
      <c r="B16" t="s">
        <v>82</v>
      </c>
      <c r="C16">
        <v>1.5100000000000001E-2</v>
      </c>
    </row>
    <row r="17" spans="1:3">
      <c r="A17" t="s">
        <v>76</v>
      </c>
      <c r="B17" t="s">
        <v>51</v>
      </c>
      <c r="C17">
        <v>1.24E-2</v>
      </c>
    </row>
    <row r="18" spans="1:3">
      <c r="A18" t="s">
        <v>76</v>
      </c>
      <c r="B18" t="s">
        <v>97</v>
      </c>
      <c r="C18">
        <v>2.0400000000000001E-2</v>
      </c>
    </row>
    <row r="19" spans="1:3">
      <c r="A19" t="s">
        <v>76</v>
      </c>
      <c r="B19" t="s">
        <v>71</v>
      </c>
      <c r="C19">
        <v>1.84E-2</v>
      </c>
    </row>
    <row r="20" spans="1:3">
      <c r="A20" t="s">
        <v>76</v>
      </c>
      <c r="B20" t="s">
        <v>58</v>
      </c>
      <c r="C20">
        <v>9.4000000000000004E-3</v>
      </c>
    </row>
    <row r="21" spans="1:3">
      <c r="A21" t="s">
        <v>76</v>
      </c>
      <c r="B21" t="s">
        <v>82</v>
      </c>
      <c r="C21">
        <v>1.47E-2</v>
      </c>
    </row>
    <row r="22" spans="1:3">
      <c r="A22" t="s">
        <v>137</v>
      </c>
      <c r="B22" t="s">
        <v>51</v>
      </c>
      <c r="C22">
        <v>1.2699999999999999E-2</v>
      </c>
    </row>
    <row r="23" spans="1:3">
      <c r="A23" t="s">
        <v>137</v>
      </c>
      <c r="B23" t="s">
        <v>97</v>
      </c>
      <c r="C23">
        <v>2.07E-2</v>
      </c>
    </row>
    <row r="24" spans="1:3">
      <c r="A24" t="s">
        <v>137</v>
      </c>
      <c r="B24" t="s">
        <v>71</v>
      </c>
      <c r="C24">
        <v>1.8700000000000001E-2</v>
      </c>
    </row>
    <row r="25" spans="1:3">
      <c r="A25" t="s">
        <v>137</v>
      </c>
      <c r="B25" t="s">
        <v>58</v>
      </c>
      <c r="C25">
        <v>9.7000000000000003E-3</v>
      </c>
    </row>
    <row r="26" spans="1:3">
      <c r="A26" t="s">
        <v>137</v>
      </c>
      <c r="B26" t="s">
        <v>82</v>
      </c>
      <c r="C26">
        <v>1.4999999999999999E-2</v>
      </c>
    </row>
    <row r="27" spans="1:3">
      <c r="A27" t="s">
        <v>150</v>
      </c>
      <c r="B27" t="s">
        <v>51</v>
      </c>
      <c r="C27">
        <v>1.23E-2</v>
      </c>
    </row>
    <row r="28" spans="1:3">
      <c r="A28" t="s">
        <v>150</v>
      </c>
      <c r="B28" t="s">
        <v>97</v>
      </c>
      <c r="C28">
        <v>2.0299999999999999E-2</v>
      </c>
    </row>
    <row r="29" spans="1:3">
      <c r="A29" t="s">
        <v>150</v>
      </c>
      <c r="B29" t="s">
        <v>71</v>
      </c>
      <c r="C29">
        <v>1.83E-2</v>
      </c>
    </row>
    <row r="30" spans="1:3">
      <c r="A30" t="s">
        <v>150</v>
      </c>
      <c r="B30" t="s">
        <v>58</v>
      </c>
      <c r="C30">
        <v>9.2999999999999992E-3</v>
      </c>
    </row>
    <row r="31" spans="1:3">
      <c r="A31" t="s">
        <v>150</v>
      </c>
      <c r="B31" t="s">
        <v>82</v>
      </c>
      <c r="C31">
        <v>1.46E-2</v>
      </c>
    </row>
    <row r="32" spans="1:3">
      <c r="A32" t="s">
        <v>69</v>
      </c>
      <c r="B32" t="s">
        <v>51</v>
      </c>
      <c r="C32">
        <v>1.26E-2</v>
      </c>
    </row>
    <row r="33" spans="1:3">
      <c r="A33" t="s">
        <v>69</v>
      </c>
      <c r="B33" t="s">
        <v>97</v>
      </c>
      <c r="C33">
        <v>2.06E-2</v>
      </c>
    </row>
    <row r="34" spans="1:3">
      <c r="A34" t="s">
        <v>69</v>
      </c>
      <c r="B34" t="s">
        <v>71</v>
      </c>
      <c r="C34">
        <v>1.8599999999999998E-2</v>
      </c>
    </row>
    <row r="35" spans="1:3">
      <c r="A35" t="s">
        <v>69</v>
      </c>
      <c r="B35" t="s">
        <v>58</v>
      </c>
      <c r="C35">
        <v>9.5999999999999992E-3</v>
      </c>
    </row>
    <row r="36" spans="1:3">
      <c r="A36" t="s">
        <v>69</v>
      </c>
      <c r="B36" t="s">
        <v>82</v>
      </c>
      <c r="C36">
        <v>1.49E-2</v>
      </c>
    </row>
    <row r="37" spans="1:3">
      <c r="A37" t="s">
        <v>101</v>
      </c>
      <c r="B37" t="s">
        <v>51</v>
      </c>
      <c r="C37">
        <v>1.29E-2</v>
      </c>
    </row>
    <row r="38" spans="1:3">
      <c r="A38" t="s">
        <v>101</v>
      </c>
      <c r="B38" t="s">
        <v>97</v>
      </c>
      <c r="C38">
        <v>2.0899999999999998E-2</v>
      </c>
    </row>
    <row r="39" spans="1:3">
      <c r="A39" t="s">
        <v>101</v>
      </c>
      <c r="B39" t="s">
        <v>71</v>
      </c>
      <c r="C39">
        <v>1.89E-2</v>
      </c>
    </row>
    <row r="40" spans="1:3">
      <c r="A40" t="s">
        <v>101</v>
      </c>
      <c r="B40" t="s">
        <v>58</v>
      </c>
      <c r="C40">
        <v>9.9000000000000008E-3</v>
      </c>
    </row>
    <row r="41" spans="1:3">
      <c r="A41" t="s">
        <v>101</v>
      </c>
      <c r="B41" t="s">
        <v>82</v>
      </c>
      <c r="C41">
        <v>1.52E-2</v>
      </c>
    </row>
    <row r="42" spans="1:3">
      <c r="A42" t="s">
        <v>56</v>
      </c>
      <c r="B42" t="s">
        <v>51</v>
      </c>
      <c r="C42">
        <v>1.24E-2</v>
      </c>
    </row>
    <row r="43" spans="1:3">
      <c r="A43" t="s">
        <v>56</v>
      </c>
      <c r="B43" t="s">
        <v>97</v>
      </c>
      <c r="C43">
        <v>2.0400000000000001E-2</v>
      </c>
    </row>
    <row r="44" spans="1:3">
      <c r="A44" t="s">
        <v>56</v>
      </c>
      <c r="B44" t="s">
        <v>71</v>
      </c>
      <c r="C44">
        <v>1.84E-2</v>
      </c>
    </row>
    <row r="45" spans="1:3">
      <c r="A45" t="s">
        <v>56</v>
      </c>
      <c r="B45" t="s">
        <v>58</v>
      </c>
      <c r="C45">
        <v>9.4000000000000004E-3</v>
      </c>
    </row>
    <row r="46" spans="1:3">
      <c r="A46" t="s">
        <v>56</v>
      </c>
      <c r="B46" t="s">
        <v>82</v>
      </c>
      <c r="C46">
        <v>1.47E-2</v>
      </c>
    </row>
    <row r="47" spans="1:3">
      <c r="A47" t="s">
        <v>87</v>
      </c>
      <c r="B47" t="s">
        <v>51</v>
      </c>
      <c r="C47">
        <v>1.2500000000000001E-2</v>
      </c>
    </row>
    <row r="48" spans="1:3">
      <c r="A48" t="s">
        <v>87</v>
      </c>
      <c r="B48" t="s">
        <v>97</v>
      </c>
      <c r="C48">
        <v>2.0500000000000001E-2</v>
      </c>
    </row>
    <row r="49" spans="1:3">
      <c r="A49" t="s">
        <v>87</v>
      </c>
      <c r="B49" t="s">
        <v>71</v>
      </c>
      <c r="C49">
        <v>1.8499999999999999E-2</v>
      </c>
    </row>
    <row r="50" spans="1:3">
      <c r="A50" t="s">
        <v>87</v>
      </c>
      <c r="B50" t="s">
        <v>58</v>
      </c>
      <c r="C50">
        <v>9.4999999999999998E-3</v>
      </c>
    </row>
    <row r="51" spans="1:3">
      <c r="A51" t="s">
        <v>87</v>
      </c>
      <c r="B51" t="s">
        <v>82</v>
      </c>
      <c r="C51">
        <v>1.4800000000000001E-2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6C54D-9ECA-45C2-933D-B4F34631F9C4}">
  <dimension ref="A1:C2"/>
  <sheetViews>
    <sheetView workbookViewId="0">
      <selection activeCell="C14" sqref="C14"/>
    </sheetView>
  </sheetViews>
  <sheetFormatPr defaultRowHeight="14.5"/>
  <cols>
    <col min="1" max="1" width="22.36328125" customWidth="1"/>
    <col min="2" max="2" width="23.54296875" customWidth="1"/>
    <col min="3" max="3" width="9.36328125" customWidth="1"/>
  </cols>
  <sheetData>
    <row r="1" spans="1:3">
      <c r="A1" t="s">
        <v>1846</v>
      </c>
      <c r="B1" t="s">
        <v>1847</v>
      </c>
      <c r="C1" t="s">
        <v>1848</v>
      </c>
    </row>
    <row r="2" spans="1:3">
      <c r="A2">
        <v>4842179.1619999995</v>
      </c>
      <c r="B2">
        <v>12553041.036323847</v>
      </c>
      <c r="C2">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2B096-B0FF-47F5-8F24-A4BDA07DCFBC}">
  <dimension ref="A1:B491"/>
  <sheetViews>
    <sheetView workbookViewId="0"/>
  </sheetViews>
  <sheetFormatPr defaultRowHeight="14.5"/>
  <cols>
    <col min="1" max="1" width="19.08984375" customWidth="1"/>
    <col min="2" max="2" width="12.26953125" customWidth="1"/>
  </cols>
  <sheetData>
    <row r="1" spans="1:2">
      <c r="A1" t="s">
        <v>35</v>
      </c>
      <c r="B1" t="s">
        <v>1825</v>
      </c>
    </row>
    <row r="2" spans="1:2">
      <c r="A2" t="s">
        <v>48</v>
      </c>
      <c r="B2">
        <v>1</v>
      </c>
    </row>
    <row r="3" spans="1:2">
      <c r="A3" t="s">
        <v>126</v>
      </c>
      <c r="B3">
        <v>1</v>
      </c>
    </row>
    <row r="4" spans="1:2">
      <c r="A4" t="s">
        <v>92</v>
      </c>
      <c r="B4">
        <v>1</v>
      </c>
    </row>
    <row r="5" spans="1:2">
      <c r="A5" t="s">
        <v>118</v>
      </c>
      <c r="B5">
        <v>1</v>
      </c>
    </row>
    <row r="6" spans="1:2">
      <c r="A6" t="s">
        <v>62</v>
      </c>
      <c r="B6">
        <v>1</v>
      </c>
    </row>
    <row r="7" spans="1:2">
      <c r="A7" t="s">
        <v>55</v>
      </c>
      <c r="B7">
        <v>1</v>
      </c>
    </row>
    <row r="8" spans="1:2">
      <c r="A8" t="s">
        <v>183</v>
      </c>
      <c r="B8">
        <v>2</v>
      </c>
    </row>
    <row r="9" spans="1:2">
      <c r="A9" t="s">
        <v>206</v>
      </c>
      <c r="B9">
        <v>1</v>
      </c>
    </row>
    <row r="10" spans="1:2">
      <c r="A10" t="s">
        <v>230</v>
      </c>
      <c r="B10">
        <v>1</v>
      </c>
    </row>
    <row r="11" spans="1:2">
      <c r="A11" t="s">
        <v>96</v>
      </c>
      <c r="B11">
        <v>1</v>
      </c>
    </row>
    <row r="12" spans="1:2">
      <c r="A12" t="s">
        <v>106</v>
      </c>
      <c r="B12">
        <v>1</v>
      </c>
    </row>
    <row r="13" spans="1:2">
      <c r="A13" t="s">
        <v>159</v>
      </c>
      <c r="B13">
        <v>1</v>
      </c>
    </row>
    <row r="14" spans="1:2">
      <c r="A14" t="s">
        <v>68</v>
      </c>
      <c r="B14">
        <v>1</v>
      </c>
    </row>
    <row r="15" spans="1:2">
      <c r="A15" t="s">
        <v>75</v>
      </c>
      <c r="B15">
        <v>1</v>
      </c>
    </row>
    <row r="16" spans="1:2">
      <c r="A16" t="s">
        <v>179</v>
      </c>
      <c r="B16">
        <v>1</v>
      </c>
    </row>
    <row r="17" spans="1:2">
      <c r="A17" t="s">
        <v>222</v>
      </c>
      <c r="B17">
        <v>1</v>
      </c>
    </row>
    <row r="18" spans="1:2">
      <c r="A18" t="s">
        <v>81</v>
      </c>
      <c r="B18">
        <v>1</v>
      </c>
    </row>
    <row r="19" spans="1:2">
      <c r="A19" t="s">
        <v>86</v>
      </c>
      <c r="B19">
        <v>1</v>
      </c>
    </row>
    <row r="20" spans="1:2">
      <c r="A20" t="s">
        <v>199</v>
      </c>
      <c r="B20">
        <v>1</v>
      </c>
    </row>
    <row r="21" spans="1:2">
      <c r="A21" t="s">
        <v>100</v>
      </c>
      <c r="B21">
        <v>1</v>
      </c>
    </row>
    <row r="22" spans="1:2">
      <c r="A22" t="s">
        <v>245</v>
      </c>
      <c r="B22">
        <v>1</v>
      </c>
    </row>
    <row r="23" spans="1:2">
      <c r="A23" t="s">
        <v>234</v>
      </c>
      <c r="B23">
        <v>1</v>
      </c>
    </row>
    <row r="24" spans="1:2">
      <c r="A24" t="s">
        <v>237</v>
      </c>
      <c r="B24">
        <v>1</v>
      </c>
    </row>
    <row r="25" spans="1:2">
      <c r="A25" t="s">
        <v>110</v>
      </c>
      <c r="B25">
        <v>1</v>
      </c>
    </row>
    <row r="26" spans="1:2">
      <c r="A26" t="s">
        <v>145</v>
      </c>
      <c r="B26">
        <v>1</v>
      </c>
    </row>
    <row r="27" spans="1:2">
      <c r="A27" t="s">
        <v>114</v>
      </c>
      <c r="B27">
        <v>1</v>
      </c>
    </row>
    <row r="28" spans="1:2">
      <c r="A28" t="s">
        <v>130</v>
      </c>
      <c r="B28">
        <v>1</v>
      </c>
    </row>
    <row r="29" spans="1:2">
      <c r="A29" t="s">
        <v>210</v>
      </c>
      <c r="B29">
        <v>2</v>
      </c>
    </row>
    <row r="30" spans="1:2">
      <c r="A30" t="s">
        <v>257</v>
      </c>
      <c r="B30">
        <v>1</v>
      </c>
    </row>
    <row r="31" spans="1:2">
      <c r="A31" t="s">
        <v>122</v>
      </c>
      <c r="B31">
        <v>1</v>
      </c>
    </row>
    <row r="32" spans="1:2">
      <c r="A32" t="s">
        <v>155</v>
      </c>
      <c r="B32">
        <v>1</v>
      </c>
    </row>
    <row r="33" spans="1:2">
      <c r="A33" t="s">
        <v>195</v>
      </c>
      <c r="B33">
        <v>1</v>
      </c>
    </row>
    <row r="34" spans="1:2">
      <c r="A34" t="s">
        <v>136</v>
      </c>
      <c r="B34">
        <v>1</v>
      </c>
    </row>
    <row r="35" spans="1:2">
      <c r="A35" t="s">
        <v>142</v>
      </c>
      <c r="B35">
        <v>1</v>
      </c>
    </row>
    <row r="36" spans="1:2">
      <c r="A36" t="s">
        <v>149</v>
      </c>
      <c r="B36">
        <v>1</v>
      </c>
    </row>
    <row r="37" spans="1:2">
      <c r="A37" t="s">
        <v>218</v>
      </c>
      <c r="B37">
        <v>1</v>
      </c>
    </row>
    <row r="38" spans="1:2">
      <c r="A38" t="s">
        <v>163</v>
      </c>
      <c r="B38">
        <v>1</v>
      </c>
    </row>
    <row r="39" spans="1:2">
      <c r="A39" t="s">
        <v>191</v>
      </c>
      <c r="B39">
        <v>1</v>
      </c>
    </row>
    <row r="40" spans="1:2">
      <c r="A40" t="s">
        <v>265</v>
      </c>
      <c r="B40">
        <v>1</v>
      </c>
    </row>
    <row r="41" spans="1:2">
      <c r="A41" t="s">
        <v>167</v>
      </c>
      <c r="B41">
        <v>1</v>
      </c>
    </row>
    <row r="42" spans="1:2">
      <c r="A42" t="s">
        <v>171</v>
      </c>
      <c r="B42">
        <v>1</v>
      </c>
    </row>
    <row r="43" spans="1:2">
      <c r="A43" t="s">
        <v>175</v>
      </c>
      <c r="B43">
        <v>1</v>
      </c>
    </row>
    <row r="44" spans="1:2">
      <c r="A44" t="s">
        <v>187</v>
      </c>
      <c r="B44">
        <v>1</v>
      </c>
    </row>
    <row r="45" spans="1:2">
      <c r="A45" t="s">
        <v>226</v>
      </c>
      <c r="B45">
        <v>1</v>
      </c>
    </row>
    <row r="46" spans="1:2">
      <c r="A46" t="s">
        <v>241</v>
      </c>
      <c r="B46">
        <v>1</v>
      </c>
    </row>
    <row r="47" spans="1:2">
      <c r="A47" t="s">
        <v>269</v>
      </c>
      <c r="B47">
        <v>1</v>
      </c>
    </row>
    <row r="48" spans="1:2">
      <c r="A48" t="s">
        <v>214</v>
      </c>
      <c r="B48">
        <v>2</v>
      </c>
    </row>
    <row r="49" spans="1:2">
      <c r="A49" t="s">
        <v>261</v>
      </c>
      <c r="B49">
        <v>1</v>
      </c>
    </row>
    <row r="50" spans="1:2">
      <c r="A50" t="s">
        <v>249</v>
      </c>
      <c r="B50">
        <v>1</v>
      </c>
    </row>
    <row r="51" spans="1:2">
      <c r="A51" t="s">
        <v>253</v>
      </c>
      <c r="B51">
        <v>1</v>
      </c>
    </row>
    <row r="52" spans="1:2">
      <c r="A52" t="s">
        <v>273</v>
      </c>
      <c r="B52">
        <v>1</v>
      </c>
    </row>
    <row r="53" spans="1:2">
      <c r="A53" t="s">
        <v>277</v>
      </c>
      <c r="B53">
        <v>1</v>
      </c>
    </row>
    <row r="54" spans="1:2">
      <c r="A54" t="s">
        <v>281</v>
      </c>
      <c r="B54">
        <v>1</v>
      </c>
    </row>
    <row r="55" spans="1:2">
      <c r="A55" t="s">
        <v>285</v>
      </c>
      <c r="B55">
        <v>1</v>
      </c>
    </row>
    <row r="56" spans="1:2">
      <c r="A56" t="s">
        <v>288</v>
      </c>
      <c r="B56">
        <v>1</v>
      </c>
    </row>
    <row r="57" spans="1:2">
      <c r="A57" t="s">
        <v>292</v>
      </c>
      <c r="B57">
        <v>1</v>
      </c>
    </row>
    <row r="58" spans="1:2">
      <c r="A58" t="s">
        <v>295</v>
      </c>
      <c r="B58">
        <v>1</v>
      </c>
    </row>
    <row r="59" spans="1:2">
      <c r="A59" t="s">
        <v>299</v>
      </c>
      <c r="B59">
        <v>1</v>
      </c>
    </row>
    <row r="60" spans="1:2">
      <c r="A60" t="s">
        <v>303</v>
      </c>
      <c r="B60">
        <v>1</v>
      </c>
    </row>
    <row r="61" spans="1:2">
      <c r="A61" t="s">
        <v>307</v>
      </c>
      <c r="B61">
        <v>1</v>
      </c>
    </row>
    <row r="62" spans="1:2">
      <c r="A62" t="s">
        <v>311</v>
      </c>
      <c r="B62">
        <v>1</v>
      </c>
    </row>
    <row r="63" spans="1:2">
      <c r="A63" t="s">
        <v>315</v>
      </c>
      <c r="B63">
        <v>1</v>
      </c>
    </row>
    <row r="64" spans="1:2">
      <c r="A64" t="s">
        <v>319</v>
      </c>
      <c r="B64">
        <v>1</v>
      </c>
    </row>
    <row r="65" spans="1:2">
      <c r="A65" t="s">
        <v>323</v>
      </c>
      <c r="B65">
        <v>1</v>
      </c>
    </row>
    <row r="66" spans="1:2">
      <c r="A66" t="s">
        <v>327</v>
      </c>
      <c r="B66">
        <v>1</v>
      </c>
    </row>
    <row r="67" spans="1:2">
      <c r="A67" t="s">
        <v>331</v>
      </c>
      <c r="B67">
        <v>1</v>
      </c>
    </row>
    <row r="68" spans="1:2">
      <c r="A68" t="s">
        <v>335</v>
      </c>
      <c r="B68">
        <v>1</v>
      </c>
    </row>
    <row r="69" spans="1:2">
      <c r="A69" t="s">
        <v>339</v>
      </c>
      <c r="B69">
        <v>1</v>
      </c>
    </row>
    <row r="70" spans="1:2">
      <c r="A70" t="s">
        <v>343</v>
      </c>
      <c r="B70">
        <v>1</v>
      </c>
    </row>
    <row r="71" spans="1:2">
      <c r="A71" t="s">
        <v>347</v>
      </c>
      <c r="B71">
        <v>1</v>
      </c>
    </row>
    <row r="72" spans="1:2">
      <c r="A72" t="s">
        <v>351</v>
      </c>
      <c r="B72">
        <v>1</v>
      </c>
    </row>
    <row r="73" spans="1:2">
      <c r="A73" t="s">
        <v>355</v>
      </c>
      <c r="B73">
        <v>1</v>
      </c>
    </row>
    <row r="74" spans="1:2">
      <c r="A74" t="s">
        <v>359</v>
      </c>
      <c r="B74">
        <v>2</v>
      </c>
    </row>
    <row r="75" spans="1:2">
      <c r="A75" t="s">
        <v>363</v>
      </c>
      <c r="B75">
        <v>1</v>
      </c>
    </row>
    <row r="76" spans="1:2">
      <c r="A76" t="s">
        <v>366</v>
      </c>
      <c r="B76">
        <v>1</v>
      </c>
    </row>
    <row r="77" spans="1:2">
      <c r="A77" t="s">
        <v>370</v>
      </c>
      <c r="B77">
        <v>1</v>
      </c>
    </row>
    <row r="78" spans="1:2">
      <c r="A78" t="s">
        <v>374</v>
      </c>
      <c r="B78">
        <v>1</v>
      </c>
    </row>
    <row r="79" spans="1:2">
      <c r="A79" t="s">
        <v>378</v>
      </c>
      <c r="B79">
        <v>1</v>
      </c>
    </row>
    <row r="80" spans="1:2">
      <c r="A80" t="s">
        <v>382</v>
      </c>
      <c r="B80">
        <v>1</v>
      </c>
    </row>
    <row r="81" spans="1:2">
      <c r="A81" t="s">
        <v>386</v>
      </c>
      <c r="B81">
        <v>1</v>
      </c>
    </row>
    <row r="82" spans="1:2">
      <c r="A82" t="s">
        <v>393</v>
      </c>
      <c r="B82">
        <v>1</v>
      </c>
    </row>
    <row r="83" spans="1:2">
      <c r="A83" t="s">
        <v>397</v>
      </c>
      <c r="B83">
        <v>1</v>
      </c>
    </row>
    <row r="84" spans="1:2">
      <c r="A84" t="s">
        <v>401</v>
      </c>
      <c r="B84">
        <v>1</v>
      </c>
    </row>
    <row r="85" spans="1:2">
      <c r="A85" t="s">
        <v>405</v>
      </c>
      <c r="B85">
        <v>1</v>
      </c>
    </row>
    <row r="86" spans="1:2">
      <c r="A86" t="s">
        <v>409</v>
      </c>
      <c r="B86">
        <v>1</v>
      </c>
    </row>
    <row r="87" spans="1:2">
      <c r="A87" t="s">
        <v>413</v>
      </c>
      <c r="B87">
        <v>1</v>
      </c>
    </row>
    <row r="88" spans="1:2">
      <c r="A88" t="s">
        <v>417</v>
      </c>
      <c r="B88">
        <v>1</v>
      </c>
    </row>
    <row r="89" spans="1:2">
      <c r="A89" t="s">
        <v>420</v>
      </c>
      <c r="B89">
        <v>2</v>
      </c>
    </row>
    <row r="90" spans="1:2">
      <c r="A90" t="s">
        <v>424</v>
      </c>
      <c r="B90">
        <v>1</v>
      </c>
    </row>
    <row r="91" spans="1:2">
      <c r="A91" t="s">
        <v>429</v>
      </c>
      <c r="B91">
        <v>1</v>
      </c>
    </row>
    <row r="92" spans="1:2">
      <c r="A92" t="s">
        <v>432</v>
      </c>
      <c r="B92">
        <v>1</v>
      </c>
    </row>
    <row r="93" spans="1:2">
      <c r="A93" t="s">
        <v>435</v>
      </c>
      <c r="B93">
        <v>1</v>
      </c>
    </row>
    <row r="94" spans="1:2">
      <c r="A94" t="s">
        <v>438</v>
      </c>
      <c r="B94">
        <v>1</v>
      </c>
    </row>
    <row r="95" spans="1:2">
      <c r="A95" t="s">
        <v>441</v>
      </c>
      <c r="B95">
        <v>1</v>
      </c>
    </row>
    <row r="96" spans="1:2">
      <c r="A96" t="s">
        <v>445</v>
      </c>
      <c r="B96">
        <v>1</v>
      </c>
    </row>
    <row r="97" spans="1:2">
      <c r="A97" t="s">
        <v>449</v>
      </c>
      <c r="B97">
        <v>1</v>
      </c>
    </row>
    <row r="98" spans="1:2">
      <c r="A98" t="s">
        <v>452</v>
      </c>
      <c r="B98">
        <v>1</v>
      </c>
    </row>
    <row r="99" spans="1:2">
      <c r="A99" t="s">
        <v>456</v>
      </c>
      <c r="B99">
        <v>1</v>
      </c>
    </row>
    <row r="100" spans="1:2">
      <c r="A100" t="s">
        <v>460</v>
      </c>
      <c r="B100">
        <v>1</v>
      </c>
    </row>
    <row r="101" spans="1:2">
      <c r="A101" t="s">
        <v>464</v>
      </c>
      <c r="B101">
        <v>1</v>
      </c>
    </row>
    <row r="102" spans="1:2">
      <c r="A102" t="s">
        <v>467</v>
      </c>
      <c r="B102">
        <v>1</v>
      </c>
    </row>
    <row r="103" spans="1:2">
      <c r="A103" t="s">
        <v>471</v>
      </c>
      <c r="B103">
        <v>1</v>
      </c>
    </row>
    <row r="104" spans="1:2">
      <c r="A104" t="s">
        <v>475</v>
      </c>
      <c r="B104">
        <v>1</v>
      </c>
    </row>
    <row r="105" spans="1:2">
      <c r="A105" t="s">
        <v>479</v>
      </c>
      <c r="B105">
        <v>1</v>
      </c>
    </row>
    <row r="106" spans="1:2">
      <c r="A106" t="s">
        <v>483</v>
      </c>
      <c r="B106">
        <v>1</v>
      </c>
    </row>
    <row r="107" spans="1:2">
      <c r="A107" t="s">
        <v>487</v>
      </c>
      <c r="B107">
        <v>1</v>
      </c>
    </row>
    <row r="108" spans="1:2">
      <c r="A108" t="s">
        <v>491</v>
      </c>
      <c r="B108">
        <v>1</v>
      </c>
    </row>
    <row r="109" spans="1:2">
      <c r="A109" t="s">
        <v>497</v>
      </c>
      <c r="B109">
        <v>1</v>
      </c>
    </row>
    <row r="110" spans="1:2">
      <c r="A110" t="s">
        <v>501</v>
      </c>
      <c r="B110">
        <v>1</v>
      </c>
    </row>
    <row r="111" spans="1:2">
      <c r="A111" t="s">
        <v>505</v>
      </c>
      <c r="B111">
        <v>1</v>
      </c>
    </row>
    <row r="112" spans="1:2">
      <c r="A112" t="s">
        <v>509</v>
      </c>
      <c r="B112">
        <v>1</v>
      </c>
    </row>
    <row r="113" spans="1:2">
      <c r="A113" t="s">
        <v>513</v>
      </c>
      <c r="B113">
        <v>1</v>
      </c>
    </row>
    <row r="114" spans="1:2">
      <c r="A114" t="s">
        <v>516</v>
      </c>
      <c r="B114">
        <v>1</v>
      </c>
    </row>
    <row r="115" spans="1:2">
      <c r="A115" t="s">
        <v>520</v>
      </c>
      <c r="B115">
        <v>1</v>
      </c>
    </row>
    <row r="116" spans="1:2">
      <c r="A116" t="s">
        <v>524</v>
      </c>
      <c r="B116">
        <v>1</v>
      </c>
    </row>
    <row r="117" spans="1:2">
      <c r="A117" t="s">
        <v>527</v>
      </c>
      <c r="B117">
        <v>1</v>
      </c>
    </row>
    <row r="118" spans="1:2">
      <c r="A118" t="s">
        <v>530</v>
      </c>
      <c r="B118">
        <v>2</v>
      </c>
    </row>
    <row r="119" spans="1:2">
      <c r="A119" t="s">
        <v>534</v>
      </c>
      <c r="B119">
        <v>1</v>
      </c>
    </row>
    <row r="120" spans="1:2">
      <c r="A120" t="s">
        <v>538</v>
      </c>
      <c r="B120">
        <v>1</v>
      </c>
    </row>
    <row r="121" spans="1:2">
      <c r="A121" t="s">
        <v>541</v>
      </c>
      <c r="B121">
        <v>1</v>
      </c>
    </row>
    <row r="122" spans="1:2">
      <c r="A122" t="s">
        <v>544</v>
      </c>
      <c r="B122">
        <v>2</v>
      </c>
    </row>
    <row r="123" spans="1:2">
      <c r="A123" t="s">
        <v>548</v>
      </c>
      <c r="B123">
        <v>1</v>
      </c>
    </row>
    <row r="124" spans="1:2">
      <c r="A124" t="s">
        <v>551</v>
      </c>
      <c r="B124">
        <v>1</v>
      </c>
    </row>
    <row r="125" spans="1:2">
      <c r="A125" t="s">
        <v>554</v>
      </c>
      <c r="B125">
        <v>1</v>
      </c>
    </row>
    <row r="126" spans="1:2">
      <c r="A126" t="s">
        <v>557</v>
      </c>
      <c r="B126">
        <v>1</v>
      </c>
    </row>
    <row r="127" spans="1:2">
      <c r="A127" t="s">
        <v>561</v>
      </c>
      <c r="B127">
        <v>1</v>
      </c>
    </row>
    <row r="128" spans="1:2">
      <c r="A128" t="s">
        <v>565</v>
      </c>
      <c r="B128">
        <v>1</v>
      </c>
    </row>
    <row r="129" spans="1:2">
      <c r="A129" t="s">
        <v>569</v>
      </c>
      <c r="B129">
        <v>1</v>
      </c>
    </row>
    <row r="130" spans="1:2">
      <c r="A130" t="s">
        <v>573</v>
      </c>
      <c r="B130">
        <v>1</v>
      </c>
    </row>
    <row r="131" spans="1:2">
      <c r="A131" t="s">
        <v>576</v>
      </c>
      <c r="B131">
        <v>1</v>
      </c>
    </row>
    <row r="132" spans="1:2">
      <c r="A132" t="s">
        <v>581</v>
      </c>
      <c r="B132">
        <v>1</v>
      </c>
    </row>
    <row r="133" spans="1:2">
      <c r="A133" t="s">
        <v>585</v>
      </c>
      <c r="B133">
        <v>1</v>
      </c>
    </row>
    <row r="134" spans="1:2">
      <c r="A134" t="s">
        <v>589</v>
      </c>
      <c r="B134">
        <v>1</v>
      </c>
    </row>
    <row r="135" spans="1:2">
      <c r="A135" t="s">
        <v>592</v>
      </c>
      <c r="B135">
        <v>1</v>
      </c>
    </row>
    <row r="136" spans="1:2">
      <c r="A136" t="s">
        <v>596</v>
      </c>
      <c r="B136">
        <v>1</v>
      </c>
    </row>
    <row r="137" spans="1:2">
      <c r="A137" t="s">
        <v>599</v>
      </c>
      <c r="B137">
        <v>1</v>
      </c>
    </row>
    <row r="138" spans="1:2">
      <c r="A138" t="s">
        <v>601</v>
      </c>
      <c r="B138">
        <v>1</v>
      </c>
    </row>
    <row r="139" spans="1:2">
      <c r="A139" t="s">
        <v>605</v>
      </c>
      <c r="B139">
        <v>1</v>
      </c>
    </row>
    <row r="140" spans="1:2">
      <c r="A140" t="s">
        <v>609</v>
      </c>
      <c r="B140">
        <v>1</v>
      </c>
    </row>
    <row r="141" spans="1:2">
      <c r="A141" t="s">
        <v>612</v>
      </c>
      <c r="B141">
        <v>1</v>
      </c>
    </row>
    <row r="142" spans="1:2">
      <c r="A142" t="s">
        <v>617</v>
      </c>
      <c r="B142">
        <v>1</v>
      </c>
    </row>
    <row r="143" spans="1:2">
      <c r="A143" t="s">
        <v>621</v>
      </c>
      <c r="B143">
        <v>1</v>
      </c>
    </row>
    <row r="144" spans="1:2">
      <c r="A144" t="s">
        <v>624</v>
      </c>
      <c r="B144">
        <v>1</v>
      </c>
    </row>
    <row r="145" spans="1:2">
      <c r="A145" t="s">
        <v>628</v>
      </c>
      <c r="B145">
        <v>1</v>
      </c>
    </row>
    <row r="146" spans="1:2">
      <c r="A146" t="s">
        <v>632</v>
      </c>
      <c r="B146">
        <v>2</v>
      </c>
    </row>
    <row r="147" spans="1:2">
      <c r="A147" t="s">
        <v>636</v>
      </c>
      <c r="B147">
        <v>1</v>
      </c>
    </row>
    <row r="148" spans="1:2">
      <c r="A148" t="s">
        <v>639</v>
      </c>
      <c r="B148">
        <v>1</v>
      </c>
    </row>
    <row r="149" spans="1:2">
      <c r="A149" t="s">
        <v>643</v>
      </c>
      <c r="B149">
        <v>1</v>
      </c>
    </row>
    <row r="150" spans="1:2">
      <c r="A150" t="s">
        <v>648</v>
      </c>
      <c r="B150">
        <v>1</v>
      </c>
    </row>
    <row r="151" spans="1:2">
      <c r="A151" t="s">
        <v>652</v>
      </c>
      <c r="B151">
        <v>1</v>
      </c>
    </row>
    <row r="152" spans="1:2">
      <c r="A152" t="s">
        <v>655</v>
      </c>
      <c r="B152">
        <v>1</v>
      </c>
    </row>
    <row r="153" spans="1:2">
      <c r="A153" t="s">
        <v>658</v>
      </c>
      <c r="B153">
        <v>1</v>
      </c>
    </row>
    <row r="154" spans="1:2">
      <c r="A154" t="s">
        <v>661</v>
      </c>
      <c r="B154">
        <v>1</v>
      </c>
    </row>
    <row r="155" spans="1:2">
      <c r="A155" t="s">
        <v>665</v>
      </c>
      <c r="B155">
        <v>1</v>
      </c>
    </row>
    <row r="156" spans="1:2">
      <c r="A156" t="s">
        <v>669</v>
      </c>
      <c r="B156">
        <v>1</v>
      </c>
    </row>
    <row r="157" spans="1:2">
      <c r="A157" t="s">
        <v>673</v>
      </c>
      <c r="B157">
        <v>1</v>
      </c>
    </row>
    <row r="158" spans="1:2">
      <c r="A158" t="s">
        <v>677</v>
      </c>
      <c r="B158">
        <v>1</v>
      </c>
    </row>
    <row r="159" spans="1:2">
      <c r="A159" t="s">
        <v>682</v>
      </c>
      <c r="B159">
        <v>1</v>
      </c>
    </row>
    <row r="160" spans="1:2">
      <c r="A160" t="s">
        <v>685</v>
      </c>
      <c r="B160">
        <v>1</v>
      </c>
    </row>
    <row r="161" spans="1:2">
      <c r="A161" t="s">
        <v>689</v>
      </c>
      <c r="B161">
        <v>1</v>
      </c>
    </row>
    <row r="162" spans="1:2">
      <c r="A162" t="s">
        <v>693</v>
      </c>
      <c r="B162">
        <v>1</v>
      </c>
    </row>
    <row r="163" spans="1:2">
      <c r="A163" t="s">
        <v>696</v>
      </c>
      <c r="B163">
        <v>1</v>
      </c>
    </row>
    <row r="164" spans="1:2">
      <c r="A164" t="s">
        <v>700</v>
      </c>
      <c r="B164">
        <v>1</v>
      </c>
    </row>
    <row r="165" spans="1:2">
      <c r="A165" t="s">
        <v>704</v>
      </c>
      <c r="B165">
        <v>1</v>
      </c>
    </row>
    <row r="166" spans="1:2">
      <c r="A166" t="s">
        <v>708</v>
      </c>
      <c r="B166">
        <v>1</v>
      </c>
    </row>
    <row r="167" spans="1:2">
      <c r="A167" t="s">
        <v>711</v>
      </c>
      <c r="B167">
        <v>1</v>
      </c>
    </row>
    <row r="168" spans="1:2">
      <c r="A168" t="s">
        <v>714</v>
      </c>
      <c r="B168">
        <v>1</v>
      </c>
    </row>
    <row r="169" spans="1:2">
      <c r="A169" t="s">
        <v>717</v>
      </c>
      <c r="B169">
        <v>1</v>
      </c>
    </row>
    <row r="170" spans="1:2">
      <c r="A170" t="s">
        <v>720</v>
      </c>
      <c r="B170">
        <v>1</v>
      </c>
    </row>
    <row r="171" spans="1:2">
      <c r="A171" t="s">
        <v>724</v>
      </c>
      <c r="B171">
        <v>1</v>
      </c>
    </row>
    <row r="172" spans="1:2">
      <c r="A172" t="s">
        <v>727</v>
      </c>
      <c r="B172">
        <v>1</v>
      </c>
    </row>
    <row r="173" spans="1:2">
      <c r="A173" t="s">
        <v>730</v>
      </c>
      <c r="B173">
        <v>1</v>
      </c>
    </row>
    <row r="174" spans="1:2">
      <c r="A174" t="s">
        <v>733</v>
      </c>
      <c r="B174">
        <v>1</v>
      </c>
    </row>
    <row r="175" spans="1:2">
      <c r="A175" t="s">
        <v>736</v>
      </c>
      <c r="B175">
        <v>1</v>
      </c>
    </row>
    <row r="176" spans="1:2">
      <c r="A176" t="s">
        <v>740</v>
      </c>
      <c r="B176">
        <v>1</v>
      </c>
    </row>
    <row r="177" spans="1:2">
      <c r="A177" t="s">
        <v>743</v>
      </c>
      <c r="B177">
        <v>1</v>
      </c>
    </row>
    <row r="178" spans="1:2">
      <c r="A178" t="s">
        <v>746</v>
      </c>
      <c r="B178">
        <v>1</v>
      </c>
    </row>
    <row r="179" spans="1:2">
      <c r="A179" t="s">
        <v>750</v>
      </c>
      <c r="B179">
        <v>1</v>
      </c>
    </row>
    <row r="180" spans="1:2">
      <c r="A180" t="s">
        <v>754</v>
      </c>
      <c r="B180">
        <v>1</v>
      </c>
    </row>
    <row r="181" spans="1:2">
      <c r="A181" t="s">
        <v>758</v>
      </c>
      <c r="B181">
        <v>2</v>
      </c>
    </row>
    <row r="182" spans="1:2">
      <c r="A182" t="s">
        <v>762</v>
      </c>
      <c r="B182">
        <v>1</v>
      </c>
    </row>
    <row r="183" spans="1:2">
      <c r="A183" t="s">
        <v>766</v>
      </c>
      <c r="B183">
        <v>1</v>
      </c>
    </row>
    <row r="184" spans="1:2">
      <c r="A184" t="s">
        <v>770</v>
      </c>
      <c r="B184">
        <v>1</v>
      </c>
    </row>
    <row r="185" spans="1:2">
      <c r="A185" t="s">
        <v>774</v>
      </c>
      <c r="B185">
        <v>1</v>
      </c>
    </row>
    <row r="186" spans="1:2">
      <c r="A186" t="s">
        <v>777</v>
      </c>
      <c r="B186">
        <v>1</v>
      </c>
    </row>
    <row r="187" spans="1:2">
      <c r="A187" t="s">
        <v>784</v>
      </c>
      <c r="B187">
        <v>1</v>
      </c>
    </row>
    <row r="188" spans="1:2">
      <c r="A188" t="s">
        <v>788</v>
      </c>
      <c r="B188">
        <v>1</v>
      </c>
    </row>
    <row r="189" spans="1:2">
      <c r="A189" t="s">
        <v>792</v>
      </c>
      <c r="B189">
        <v>1</v>
      </c>
    </row>
    <row r="190" spans="1:2">
      <c r="A190" t="s">
        <v>796</v>
      </c>
      <c r="B190">
        <v>1</v>
      </c>
    </row>
    <row r="191" spans="1:2">
      <c r="A191" t="s">
        <v>799</v>
      </c>
      <c r="B191">
        <v>1</v>
      </c>
    </row>
    <row r="192" spans="1:2">
      <c r="A192" t="s">
        <v>803</v>
      </c>
      <c r="B192">
        <v>1</v>
      </c>
    </row>
    <row r="193" spans="1:2">
      <c r="A193" t="s">
        <v>807</v>
      </c>
      <c r="B193">
        <v>1</v>
      </c>
    </row>
    <row r="194" spans="1:2">
      <c r="A194" t="s">
        <v>810</v>
      </c>
      <c r="B194">
        <v>1</v>
      </c>
    </row>
    <row r="195" spans="1:2">
      <c r="A195" t="s">
        <v>814</v>
      </c>
      <c r="B195">
        <v>1</v>
      </c>
    </row>
    <row r="196" spans="1:2">
      <c r="A196" t="s">
        <v>820</v>
      </c>
      <c r="B196">
        <v>1</v>
      </c>
    </row>
    <row r="197" spans="1:2">
      <c r="A197" t="s">
        <v>825</v>
      </c>
      <c r="B197">
        <v>1</v>
      </c>
    </row>
    <row r="198" spans="1:2">
      <c r="A198" t="s">
        <v>829</v>
      </c>
      <c r="B198">
        <v>1</v>
      </c>
    </row>
    <row r="199" spans="1:2">
      <c r="A199" t="s">
        <v>833</v>
      </c>
      <c r="B199">
        <v>1</v>
      </c>
    </row>
    <row r="200" spans="1:2">
      <c r="A200" t="s">
        <v>837</v>
      </c>
      <c r="B200">
        <v>1</v>
      </c>
    </row>
    <row r="201" spans="1:2">
      <c r="A201" t="s">
        <v>840</v>
      </c>
      <c r="B201">
        <v>1</v>
      </c>
    </row>
    <row r="202" spans="1:2">
      <c r="A202" t="s">
        <v>843</v>
      </c>
      <c r="B202">
        <v>1</v>
      </c>
    </row>
    <row r="203" spans="1:2">
      <c r="A203" t="s">
        <v>846</v>
      </c>
      <c r="B203">
        <v>1</v>
      </c>
    </row>
    <row r="204" spans="1:2">
      <c r="A204" t="s">
        <v>850</v>
      </c>
      <c r="B204">
        <v>1</v>
      </c>
    </row>
    <row r="205" spans="1:2">
      <c r="A205" t="s">
        <v>853</v>
      </c>
      <c r="B205">
        <v>1</v>
      </c>
    </row>
    <row r="206" spans="1:2">
      <c r="A206" t="s">
        <v>856</v>
      </c>
      <c r="B206">
        <v>1</v>
      </c>
    </row>
    <row r="207" spans="1:2">
      <c r="A207" t="s">
        <v>860</v>
      </c>
      <c r="B207">
        <v>1</v>
      </c>
    </row>
    <row r="208" spans="1:2">
      <c r="A208" t="s">
        <v>863</v>
      </c>
      <c r="B208">
        <v>1</v>
      </c>
    </row>
    <row r="209" spans="1:2">
      <c r="A209" t="s">
        <v>867</v>
      </c>
      <c r="B209">
        <v>1</v>
      </c>
    </row>
    <row r="210" spans="1:2">
      <c r="A210" t="s">
        <v>871</v>
      </c>
      <c r="B210">
        <v>1</v>
      </c>
    </row>
    <row r="211" spans="1:2">
      <c r="A211" t="s">
        <v>875</v>
      </c>
      <c r="B211">
        <v>1</v>
      </c>
    </row>
    <row r="212" spans="1:2">
      <c r="A212" t="s">
        <v>878</v>
      </c>
      <c r="B212">
        <v>1</v>
      </c>
    </row>
    <row r="213" spans="1:2">
      <c r="A213" t="s">
        <v>882</v>
      </c>
      <c r="B213">
        <v>1</v>
      </c>
    </row>
    <row r="214" spans="1:2">
      <c r="A214" t="s">
        <v>885</v>
      </c>
      <c r="B214">
        <v>1</v>
      </c>
    </row>
    <row r="215" spans="1:2">
      <c r="A215" t="s">
        <v>889</v>
      </c>
      <c r="B215">
        <v>1</v>
      </c>
    </row>
    <row r="216" spans="1:2">
      <c r="A216" t="s">
        <v>893</v>
      </c>
      <c r="B216">
        <v>1</v>
      </c>
    </row>
    <row r="217" spans="1:2">
      <c r="A217" t="s">
        <v>897</v>
      </c>
      <c r="B217">
        <v>1</v>
      </c>
    </row>
    <row r="218" spans="1:2">
      <c r="A218" t="s">
        <v>900</v>
      </c>
      <c r="B218">
        <v>1</v>
      </c>
    </row>
    <row r="219" spans="1:2">
      <c r="A219" t="s">
        <v>903</v>
      </c>
      <c r="B219">
        <v>1</v>
      </c>
    </row>
    <row r="220" spans="1:2">
      <c r="A220" t="s">
        <v>907</v>
      </c>
      <c r="B220">
        <v>1</v>
      </c>
    </row>
    <row r="221" spans="1:2">
      <c r="A221" t="s">
        <v>911</v>
      </c>
      <c r="B221">
        <v>1</v>
      </c>
    </row>
    <row r="222" spans="1:2">
      <c r="A222" t="s">
        <v>915</v>
      </c>
      <c r="B222">
        <v>1</v>
      </c>
    </row>
    <row r="223" spans="1:2">
      <c r="A223" t="s">
        <v>919</v>
      </c>
      <c r="B223">
        <v>1</v>
      </c>
    </row>
    <row r="224" spans="1:2">
      <c r="A224" t="s">
        <v>922</v>
      </c>
      <c r="B224">
        <v>1</v>
      </c>
    </row>
    <row r="225" spans="1:2">
      <c r="A225" t="s">
        <v>925</v>
      </c>
      <c r="B225">
        <v>1</v>
      </c>
    </row>
    <row r="226" spans="1:2">
      <c r="A226" t="s">
        <v>929</v>
      </c>
      <c r="B226">
        <v>1</v>
      </c>
    </row>
    <row r="227" spans="1:2">
      <c r="A227" t="s">
        <v>932</v>
      </c>
      <c r="B227">
        <v>1</v>
      </c>
    </row>
    <row r="228" spans="1:2">
      <c r="A228" t="s">
        <v>935</v>
      </c>
      <c r="B228">
        <v>1</v>
      </c>
    </row>
    <row r="229" spans="1:2">
      <c r="A229" t="s">
        <v>939</v>
      </c>
      <c r="B229">
        <v>1</v>
      </c>
    </row>
    <row r="230" spans="1:2">
      <c r="A230" t="s">
        <v>943</v>
      </c>
      <c r="B230">
        <v>1</v>
      </c>
    </row>
    <row r="231" spans="1:2">
      <c r="A231" t="s">
        <v>947</v>
      </c>
      <c r="B231">
        <v>1</v>
      </c>
    </row>
    <row r="232" spans="1:2">
      <c r="A232" t="s">
        <v>950</v>
      </c>
      <c r="B232">
        <v>1</v>
      </c>
    </row>
    <row r="233" spans="1:2">
      <c r="A233" t="s">
        <v>954</v>
      </c>
      <c r="B233">
        <v>1</v>
      </c>
    </row>
    <row r="234" spans="1:2">
      <c r="A234" t="s">
        <v>958</v>
      </c>
      <c r="B234">
        <v>1</v>
      </c>
    </row>
    <row r="235" spans="1:2">
      <c r="A235" t="s">
        <v>962</v>
      </c>
      <c r="B235">
        <v>1</v>
      </c>
    </row>
    <row r="236" spans="1:2">
      <c r="A236" t="s">
        <v>966</v>
      </c>
      <c r="B236">
        <v>1</v>
      </c>
    </row>
    <row r="237" spans="1:2">
      <c r="A237" t="s">
        <v>970</v>
      </c>
      <c r="B237">
        <v>1</v>
      </c>
    </row>
    <row r="238" spans="1:2">
      <c r="A238" t="s">
        <v>974</v>
      </c>
      <c r="B238">
        <v>1</v>
      </c>
    </row>
    <row r="239" spans="1:2">
      <c r="A239" t="s">
        <v>977</v>
      </c>
      <c r="B239">
        <v>1</v>
      </c>
    </row>
    <row r="240" spans="1:2">
      <c r="A240" t="s">
        <v>980</v>
      </c>
      <c r="B240">
        <v>1</v>
      </c>
    </row>
    <row r="241" spans="1:2">
      <c r="A241" t="s">
        <v>983</v>
      </c>
      <c r="B241">
        <v>1</v>
      </c>
    </row>
    <row r="242" spans="1:2">
      <c r="A242" t="s">
        <v>987</v>
      </c>
      <c r="B242">
        <v>1</v>
      </c>
    </row>
    <row r="243" spans="1:2">
      <c r="A243" t="s">
        <v>991</v>
      </c>
      <c r="B243">
        <v>1</v>
      </c>
    </row>
    <row r="244" spans="1:2">
      <c r="A244" t="s">
        <v>994</v>
      </c>
      <c r="B244">
        <v>1</v>
      </c>
    </row>
    <row r="245" spans="1:2">
      <c r="A245" t="s">
        <v>997</v>
      </c>
      <c r="B245">
        <v>1</v>
      </c>
    </row>
    <row r="246" spans="1:2">
      <c r="A246" t="s">
        <v>1001</v>
      </c>
      <c r="B246">
        <v>1</v>
      </c>
    </row>
    <row r="247" spans="1:2">
      <c r="A247" t="s">
        <v>1004</v>
      </c>
      <c r="B247">
        <v>1</v>
      </c>
    </row>
    <row r="248" spans="1:2">
      <c r="A248" t="s">
        <v>1007</v>
      </c>
      <c r="B248">
        <v>1</v>
      </c>
    </row>
    <row r="249" spans="1:2">
      <c r="A249" t="s">
        <v>1011</v>
      </c>
      <c r="B249">
        <v>1</v>
      </c>
    </row>
    <row r="250" spans="1:2">
      <c r="A250" t="s">
        <v>1014</v>
      </c>
      <c r="B250">
        <v>1</v>
      </c>
    </row>
    <row r="251" spans="1:2">
      <c r="A251" t="s">
        <v>1020</v>
      </c>
      <c r="B251">
        <v>1</v>
      </c>
    </row>
    <row r="252" spans="1:2">
      <c r="A252" t="s">
        <v>1024</v>
      </c>
      <c r="B252">
        <v>1</v>
      </c>
    </row>
    <row r="253" spans="1:2">
      <c r="A253" t="s">
        <v>1028</v>
      </c>
      <c r="B253">
        <v>1</v>
      </c>
    </row>
    <row r="254" spans="1:2">
      <c r="A254" t="s">
        <v>1032</v>
      </c>
      <c r="B254">
        <v>1</v>
      </c>
    </row>
    <row r="255" spans="1:2">
      <c r="A255" t="s">
        <v>1035</v>
      </c>
      <c r="B255">
        <v>1</v>
      </c>
    </row>
    <row r="256" spans="1:2">
      <c r="A256" t="s">
        <v>1038</v>
      </c>
      <c r="B256">
        <v>1</v>
      </c>
    </row>
    <row r="257" spans="1:2">
      <c r="A257" t="s">
        <v>1042</v>
      </c>
      <c r="B257">
        <v>1</v>
      </c>
    </row>
    <row r="258" spans="1:2">
      <c r="A258" t="s">
        <v>1046</v>
      </c>
      <c r="B258">
        <v>1</v>
      </c>
    </row>
    <row r="259" spans="1:2">
      <c r="A259" t="s">
        <v>1050</v>
      </c>
      <c r="B259">
        <v>1</v>
      </c>
    </row>
    <row r="260" spans="1:2">
      <c r="A260" t="s">
        <v>1054</v>
      </c>
      <c r="B260">
        <v>1</v>
      </c>
    </row>
    <row r="261" spans="1:2">
      <c r="A261" t="s">
        <v>1059</v>
      </c>
      <c r="B261">
        <v>1</v>
      </c>
    </row>
    <row r="262" spans="1:2">
      <c r="A262" t="s">
        <v>1063</v>
      </c>
      <c r="B262">
        <v>1</v>
      </c>
    </row>
    <row r="263" spans="1:2">
      <c r="A263" t="s">
        <v>1066</v>
      </c>
      <c r="B263">
        <v>1</v>
      </c>
    </row>
    <row r="264" spans="1:2">
      <c r="A264" t="s">
        <v>1068</v>
      </c>
      <c r="B264">
        <v>1</v>
      </c>
    </row>
    <row r="265" spans="1:2">
      <c r="A265" t="s">
        <v>1072</v>
      </c>
      <c r="B265">
        <v>1</v>
      </c>
    </row>
    <row r="266" spans="1:2">
      <c r="A266" t="s">
        <v>1075</v>
      </c>
      <c r="B266">
        <v>1</v>
      </c>
    </row>
    <row r="267" spans="1:2">
      <c r="A267" t="s">
        <v>1079</v>
      </c>
      <c r="B267">
        <v>1</v>
      </c>
    </row>
    <row r="268" spans="1:2">
      <c r="A268" t="s">
        <v>1083</v>
      </c>
      <c r="B268">
        <v>1</v>
      </c>
    </row>
    <row r="269" spans="1:2">
      <c r="A269" t="s">
        <v>1086</v>
      </c>
      <c r="B269">
        <v>1</v>
      </c>
    </row>
    <row r="270" spans="1:2">
      <c r="A270" t="s">
        <v>1089</v>
      </c>
      <c r="B270">
        <v>1</v>
      </c>
    </row>
    <row r="271" spans="1:2">
      <c r="A271" t="s">
        <v>1092</v>
      </c>
      <c r="B271">
        <v>1</v>
      </c>
    </row>
    <row r="272" spans="1:2">
      <c r="A272" t="s">
        <v>1095</v>
      </c>
      <c r="B272">
        <v>1</v>
      </c>
    </row>
    <row r="273" spans="1:2">
      <c r="A273" t="s">
        <v>1098</v>
      </c>
      <c r="B273">
        <v>1</v>
      </c>
    </row>
    <row r="274" spans="1:2">
      <c r="A274" t="s">
        <v>1102</v>
      </c>
      <c r="B274">
        <v>1</v>
      </c>
    </row>
    <row r="275" spans="1:2">
      <c r="A275" t="s">
        <v>1106</v>
      </c>
      <c r="B275">
        <v>1</v>
      </c>
    </row>
    <row r="276" spans="1:2">
      <c r="A276" t="s">
        <v>1110</v>
      </c>
      <c r="B276">
        <v>1</v>
      </c>
    </row>
    <row r="277" spans="1:2">
      <c r="A277" t="s">
        <v>1114</v>
      </c>
      <c r="B277">
        <v>1</v>
      </c>
    </row>
    <row r="278" spans="1:2">
      <c r="A278" t="s">
        <v>1118</v>
      </c>
      <c r="B278">
        <v>1</v>
      </c>
    </row>
    <row r="279" spans="1:2">
      <c r="A279" t="s">
        <v>1121</v>
      </c>
      <c r="B279">
        <v>1</v>
      </c>
    </row>
    <row r="280" spans="1:2">
      <c r="A280" t="s">
        <v>1124</v>
      </c>
      <c r="B280">
        <v>1</v>
      </c>
    </row>
    <row r="281" spans="1:2">
      <c r="A281" t="s">
        <v>1127</v>
      </c>
      <c r="B281">
        <v>1</v>
      </c>
    </row>
    <row r="282" spans="1:2">
      <c r="A282" t="s">
        <v>1131</v>
      </c>
      <c r="B282">
        <v>1</v>
      </c>
    </row>
    <row r="283" spans="1:2">
      <c r="A283" t="s">
        <v>1135</v>
      </c>
      <c r="B283">
        <v>1</v>
      </c>
    </row>
    <row r="284" spans="1:2">
      <c r="A284" t="s">
        <v>1138</v>
      </c>
      <c r="B284">
        <v>2</v>
      </c>
    </row>
    <row r="285" spans="1:2">
      <c r="A285" t="s">
        <v>1142</v>
      </c>
      <c r="B285">
        <v>1</v>
      </c>
    </row>
    <row r="286" spans="1:2">
      <c r="A286" t="s">
        <v>1144</v>
      </c>
      <c r="B286">
        <v>1</v>
      </c>
    </row>
    <row r="287" spans="1:2">
      <c r="A287" t="s">
        <v>1148</v>
      </c>
      <c r="B287">
        <v>1</v>
      </c>
    </row>
    <row r="288" spans="1:2">
      <c r="A288" t="s">
        <v>1151</v>
      </c>
      <c r="B288">
        <v>1</v>
      </c>
    </row>
    <row r="289" spans="1:2">
      <c r="A289" t="s">
        <v>1153</v>
      </c>
      <c r="B289">
        <v>1</v>
      </c>
    </row>
    <row r="290" spans="1:2">
      <c r="A290" t="s">
        <v>1156</v>
      </c>
      <c r="B290">
        <v>1</v>
      </c>
    </row>
    <row r="291" spans="1:2">
      <c r="A291" t="s">
        <v>1159</v>
      </c>
      <c r="B291">
        <v>1</v>
      </c>
    </row>
    <row r="292" spans="1:2">
      <c r="A292" t="s">
        <v>1163</v>
      </c>
      <c r="B292">
        <v>1</v>
      </c>
    </row>
    <row r="293" spans="1:2">
      <c r="A293" t="s">
        <v>1166</v>
      </c>
      <c r="B293">
        <v>1</v>
      </c>
    </row>
    <row r="294" spans="1:2">
      <c r="A294" t="s">
        <v>1169</v>
      </c>
      <c r="B294">
        <v>1</v>
      </c>
    </row>
    <row r="295" spans="1:2">
      <c r="A295" t="s">
        <v>1173</v>
      </c>
      <c r="B295">
        <v>1</v>
      </c>
    </row>
    <row r="296" spans="1:2">
      <c r="A296" t="s">
        <v>1176</v>
      </c>
      <c r="B296">
        <v>1</v>
      </c>
    </row>
    <row r="297" spans="1:2">
      <c r="A297" t="s">
        <v>1179</v>
      </c>
      <c r="B297">
        <v>1</v>
      </c>
    </row>
    <row r="298" spans="1:2">
      <c r="A298" t="s">
        <v>1182</v>
      </c>
      <c r="B298">
        <v>1</v>
      </c>
    </row>
    <row r="299" spans="1:2">
      <c r="A299" t="s">
        <v>1185</v>
      </c>
      <c r="B299">
        <v>1</v>
      </c>
    </row>
    <row r="300" spans="1:2">
      <c r="A300" t="s">
        <v>1188</v>
      </c>
      <c r="B300">
        <v>1</v>
      </c>
    </row>
    <row r="301" spans="1:2">
      <c r="A301" t="s">
        <v>1192</v>
      </c>
      <c r="B301">
        <v>1</v>
      </c>
    </row>
    <row r="302" spans="1:2">
      <c r="A302" t="s">
        <v>1196</v>
      </c>
      <c r="B302">
        <v>1</v>
      </c>
    </row>
    <row r="303" spans="1:2">
      <c r="A303" t="s">
        <v>1199</v>
      </c>
      <c r="B303">
        <v>1</v>
      </c>
    </row>
    <row r="304" spans="1:2">
      <c r="A304" t="s">
        <v>1202</v>
      </c>
      <c r="B304">
        <v>1</v>
      </c>
    </row>
    <row r="305" spans="1:2">
      <c r="A305" t="s">
        <v>1205</v>
      </c>
      <c r="B305">
        <v>1</v>
      </c>
    </row>
    <row r="306" spans="1:2">
      <c r="A306" t="s">
        <v>1209</v>
      </c>
      <c r="B306">
        <v>1</v>
      </c>
    </row>
    <row r="307" spans="1:2">
      <c r="A307" t="s">
        <v>1212</v>
      </c>
      <c r="B307">
        <v>1</v>
      </c>
    </row>
    <row r="308" spans="1:2">
      <c r="A308" t="s">
        <v>1215</v>
      </c>
      <c r="B308">
        <v>1</v>
      </c>
    </row>
    <row r="309" spans="1:2">
      <c r="A309" t="s">
        <v>1218</v>
      </c>
      <c r="B309">
        <v>1</v>
      </c>
    </row>
    <row r="310" spans="1:2">
      <c r="A310" t="s">
        <v>1221</v>
      </c>
      <c r="B310">
        <v>1</v>
      </c>
    </row>
    <row r="311" spans="1:2">
      <c r="A311" t="s">
        <v>1225</v>
      </c>
      <c r="B311">
        <v>1</v>
      </c>
    </row>
    <row r="312" spans="1:2">
      <c r="A312" t="s">
        <v>1229</v>
      </c>
      <c r="B312">
        <v>1</v>
      </c>
    </row>
    <row r="313" spans="1:2">
      <c r="A313" t="s">
        <v>1233</v>
      </c>
      <c r="B313">
        <v>1</v>
      </c>
    </row>
    <row r="314" spans="1:2">
      <c r="A314" t="s">
        <v>1237</v>
      </c>
      <c r="B314">
        <v>1</v>
      </c>
    </row>
    <row r="315" spans="1:2">
      <c r="A315" t="s">
        <v>1240</v>
      </c>
      <c r="B315">
        <v>1</v>
      </c>
    </row>
    <row r="316" spans="1:2">
      <c r="A316" t="s">
        <v>1243</v>
      </c>
      <c r="B316">
        <v>1</v>
      </c>
    </row>
    <row r="317" spans="1:2">
      <c r="A317" t="s">
        <v>1247</v>
      </c>
      <c r="B317">
        <v>1</v>
      </c>
    </row>
    <row r="318" spans="1:2">
      <c r="A318" t="s">
        <v>1250</v>
      </c>
      <c r="B318">
        <v>1</v>
      </c>
    </row>
    <row r="319" spans="1:2">
      <c r="A319" t="s">
        <v>1254</v>
      </c>
      <c r="B319">
        <v>1</v>
      </c>
    </row>
    <row r="320" spans="1:2">
      <c r="A320" t="s">
        <v>1257</v>
      </c>
      <c r="B320">
        <v>1</v>
      </c>
    </row>
    <row r="321" spans="1:2">
      <c r="A321" t="s">
        <v>1261</v>
      </c>
      <c r="B321">
        <v>1</v>
      </c>
    </row>
    <row r="322" spans="1:2">
      <c r="A322" t="s">
        <v>1265</v>
      </c>
      <c r="B322">
        <v>1</v>
      </c>
    </row>
    <row r="323" spans="1:2">
      <c r="A323" t="s">
        <v>1268</v>
      </c>
      <c r="B323">
        <v>1</v>
      </c>
    </row>
    <row r="324" spans="1:2">
      <c r="A324" t="s">
        <v>1271</v>
      </c>
      <c r="B324">
        <v>1</v>
      </c>
    </row>
    <row r="325" spans="1:2">
      <c r="A325" t="s">
        <v>1274</v>
      </c>
      <c r="B325">
        <v>1</v>
      </c>
    </row>
    <row r="326" spans="1:2">
      <c r="A326" t="s">
        <v>1277</v>
      </c>
      <c r="B326">
        <v>1</v>
      </c>
    </row>
    <row r="327" spans="1:2">
      <c r="A327" t="s">
        <v>1281</v>
      </c>
      <c r="B327">
        <v>1</v>
      </c>
    </row>
    <row r="328" spans="1:2">
      <c r="A328" t="s">
        <v>1285</v>
      </c>
      <c r="B328">
        <v>1</v>
      </c>
    </row>
    <row r="329" spans="1:2">
      <c r="A329" t="s">
        <v>1289</v>
      </c>
      <c r="B329">
        <v>1</v>
      </c>
    </row>
    <row r="330" spans="1:2">
      <c r="A330" t="s">
        <v>1293</v>
      </c>
      <c r="B330">
        <v>1</v>
      </c>
    </row>
    <row r="331" spans="1:2">
      <c r="A331" t="s">
        <v>1297</v>
      </c>
      <c r="B331">
        <v>1</v>
      </c>
    </row>
    <row r="332" spans="1:2">
      <c r="A332" t="s">
        <v>1299</v>
      </c>
      <c r="B332">
        <v>1</v>
      </c>
    </row>
    <row r="333" spans="1:2">
      <c r="A333" t="s">
        <v>1302</v>
      </c>
      <c r="B333">
        <v>1</v>
      </c>
    </row>
    <row r="334" spans="1:2">
      <c r="A334" t="s">
        <v>1305</v>
      </c>
      <c r="B334">
        <v>1</v>
      </c>
    </row>
    <row r="335" spans="1:2">
      <c r="A335" t="s">
        <v>1308</v>
      </c>
      <c r="B335">
        <v>1</v>
      </c>
    </row>
    <row r="336" spans="1:2">
      <c r="A336" t="s">
        <v>1311</v>
      </c>
      <c r="B336">
        <v>1</v>
      </c>
    </row>
    <row r="337" spans="1:2">
      <c r="A337" t="s">
        <v>1315</v>
      </c>
      <c r="B337">
        <v>1</v>
      </c>
    </row>
    <row r="338" spans="1:2">
      <c r="A338" t="s">
        <v>1318</v>
      </c>
      <c r="B338">
        <v>1</v>
      </c>
    </row>
    <row r="339" spans="1:2">
      <c r="A339" t="s">
        <v>1321</v>
      </c>
      <c r="B339">
        <v>1</v>
      </c>
    </row>
    <row r="340" spans="1:2">
      <c r="A340" t="s">
        <v>1324</v>
      </c>
      <c r="B340">
        <v>1</v>
      </c>
    </row>
    <row r="341" spans="1:2">
      <c r="A341" t="s">
        <v>1327</v>
      </c>
      <c r="B341">
        <v>1</v>
      </c>
    </row>
    <row r="342" spans="1:2">
      <c r="A342" t="s">
        <v>1330</v>
      </c>
      <c r="B342">
        <v>1</v>
      </c>
    </row>
    <row r="343" spans="1:2">
      <c r="A343" t="s">
        <v>1333</v>
      </c>
      <c r="B343">
        <v>1</v>
      </c>
    </row>
    <row r="344" spans="1:2">
      <c r="A344" t="s">
        <v>1336</v>
      </c>
      <c r="B344">
        <v>1</v>
      </c>
    </row>
    <row r="345" spans="1:2">
      <c r="A345" t="s">
        <v>1340</v>
      </c>
      <c r="B345">
        <v>1</v>
      </c>
    </row>
    <row r="346" spans="1:2">
      <c r="A346" t="s">
        <v>1343</v>
      </c>
      <c r="B346">
        <v>1</v>
      </c>
    </row>
    <row r="347" spans="1:2">
      <c r="A347" t="s">
        <v>1346</v>
      </c>
      <c r="B347">
        <v>1</v>
      </c>
    </row>
    <row r="348" spans="1:2">
      <c r="A348" t="s">
        <v>1350</v>
      </c>
      <c r="B348">
        <v>1</v>
      </c>
    </row>
    <row r="349" spans="1:2">
      <c r="A349" t="s">
        <v>1353</v>
      </c>
      <c r="B349">
        <v>1</v>
      </c>
    </row>
    <row r="350" spans="1:2">
      <c r="A350" t="s">
        <v>1356</v>
      </c>
      <c r="B350">
        <v>1</v>
      </c>
    </row>
    <row r="351" spans="1:2">
      <c r="A351" t="s">
        <v>1359</v>
      </c>
      <c r="B351">
        <v>1</v>
      </c>
    </row>
    <row r="352" spans="1:2">
      <c r="A352" t="s">
        <v>1363</v>
      </c>
      <c r="B352">
        <v>1</v>
      </c>
    </row>
    <row r="353" spans="1:2">
      <c r="A353" t="s">
        <v>1366</v>
      </c>
      <c r="B353">
        <v>1</v>
      </c>
    </row>
    <row r="354" spans="1:2">
      <c r="A354" t="s">
        <v>1369</v>
      </c>
      <c r="B354">
        <v>1</v>
      </c>
    </row>
    <row r="355" spans="1:2">
      <c r="A355" t="s">
        <v>1372</v>
      </c>
      <c r="B355">
        <v>1</v>
      </c>
    </row>
    <row r="356" spans="1:2">
      <c r="A356" t="s">
        <v>1375</v>
      </c>
      <c r="B356">
        <v>1</v>
      </c>
    </row>
    <row r="357" spans="1:2">
      <c r="A357" t="s">
        <v>1378</v>
      </c>
      <c r="B357">
        <v>1</v>
      </c>
    </row>
    <row r="358" spans="1:2">
      <c r="A358" t="s">
        <v>1381</v>
      </c>
      <c r="B358">
        <v>1</v>
      </c>
    </row>
    <row r="359" spans="1:2">
      <c r="A359" t="s">
        <v>1384</v>
      </c>
      <c r="B359">
        <v>1</v>
      </c>
    </row>
    <row r="360" spans="1:2">
      <c r="A360" t="s">
        <v>1388</v>
      </c>
      <c r="B360">
        <v>1</v>
      </c>
    </row>
    <row r="361" spans="1:2">
      <c r="A361" t="s">
        <v>1391</v>
      </c>
      <c r="B361">
        <v>1</v>
      </c>
    </row>
    <row r="362" spans="1:2">
      <c r="A362" t="s">
        <v>1394</v>
      </c>
      <c r="B362">
        <v>1</v>
      </c>
    </row>
    <row r="363" spans="1:2">
      <c r="A363" t="s">
        <v>1398</v>
      </c>
      <c r="B363">
        <v>1</v>
      </c>
    </row>
    <row r="364" spans="1:2">
      <c r="A364" t="s">
        <v>1402</v>
      </c>
      <c r="B364">
        <v>1</v>
      </c>
    </row>
    <row r="365" spans="1:2">
      <c r="A365" t="s">
        <v>1405</v>
      </c>
      <c r="B365">
        <v>1</v>
      </c>
    </row>
    <row r="366" spans="1:2">
      <c r="A366" t="s">
        <v>1408</v>
      </c>
      <c r="B366">
        <v>1</v>
      </c>
    </row>
    <row r="367" spans="1:2">
      <c r="A367" t="s">
        <v>1412</v>
      </c>
      <c r="B367">
        <v>1</v>
      </c>
    </row>
    <row r="368" spans="1:2">
      <c r="A368" t="s">
        <v>1415</v>
      </c>
      <c r="B368">
        <v>1</v>
      </c>
    </row>
    <row r="369" spans="1:2">
      <c r="A369" t="s">
        <v>1419</v>
      </c>
      <c r="B369">
        <v>1</v>
      </c>
    </row>
    <row r="370" spans="1:2">
      <c r="A370" t="s">
        <v>1423</v>
      </c>
      <c r="B370">
        <v>1</v>
      </c>
    </row>
    <row r="371" spans="1:2">
      <c r="A371" t="s">
        <v>1427</v>
      </c>
      <c r="B371">
        <v>1</v>
      </c>
    </row>
    <row r="372" spans="1:2">
      <c r="A372" t="s">
        <v>1430</v>
      </c>
      <c r="B372">
        <v>1</v>
      </c>
    </row>
    <row r="373" spans="1:2">
      <c r="A373" t="s">
        <v>1433</v>
      </c>
      <c r="B373">
        <v>1</v>
      </c>
    </row>
    <row r="374" spans="1:2">
      <c r="A374" t="s">
        <v>1436</v>
      </c>
      <c r="B374">
        <v>1</v>
      </c>
    </row>
    <row r="375" spans="1:2">
      <c r="A375" t="s">
        <v>1439</v>
      </c>
      <c r="B375">
        <v>1</v>
      </c>
    </row>
    <row r="376" spans="1:2">
      <c r="A376" t="s">
        <v>1442</v>
      </c>
      <c r="B376">
        <v>1</v>
      </c>
    </row>
    <row r="377" spans="1:2">
      <c r="A377" t="s">
        <v>1446</v>
      </c>
      <c r="B377">
        <v>1</v>
      </c>
    </row>
    <row r="378" spans="1:2">
      <c r="A378" t="s">
        <v>1450</v>
      </c>
      <c r="B378">
        <v>1</v>
      </c>
    </row>
    <row r="379" spans="1:2">
      <c r="A379" t="s">
        <v>1454</v>
      </c>
      <c r="B379">
        <v>1</v>
      </c>
    </row>
    <row r="380" spans="1:2">
      <c r="A380" t="s">
        <v>1457</v>
      </c>
      <c r="B380">
        <v>1</v>
      </c>
    </row>
    <row r="381" spans="1:2">
      <c r="A381" t="s">
        <v>1460</v>
      </c>
      <c r="B381">
        <v>1</v>
      </c>
    </row>
    <row r="382" spans="1:2">
      <c r="A382" t="s">
        <v>1463</v>
      </c>
      <c r="B382">
        <v>1</v>
      </c>
    </row>
    <row r="383" spans="1:2">
      <c r="A383" t="s">
        <v>1466</v>
      </c>
      <c r="B383">
        <v>1</v>
      </c>
    </row>
    <row r="384" spans="1:2">
      <c r="A384" t="s">
        <v>1470</v>
      </c>
      <c r="B384">
        <v>1</v>
      </c>
    </row>
    <row r="385" spans="1:2">
      <c r="A385" t="s">
        <v>1473</v>
      </c>
      <c r="B385">
        <v>1</v>
      </c>
    </row>
    <row r="386" spans="1:2">
      <c r="A386" t="s">
        <v>1476</v>
      </c>
      <c r="B386">
        <v>1</v>
      </c>
    </row>
    <row r="387" spans="1:2">
      <c r="A387" t="s">
        <v>1479</v>
      </c>
      <c r="B387">
        <v>1</v>
      </c>
    </row>
    <row r="388" spans="1:2">
      <c r="A388" t="s">
        <v>1482</v>
      </c>
      <c r="B388">
        <v>1</v>
      </c>
    </row>
    <row r="389" spans="1:2">
      <c r="A389" t="s">
        <v>1485</v>
      </c>
      <c r="B389">
        <v>1</v>
      </c>
    </row>
    <row r="390" spans="1:2">
      <c r="A390" t="s">
        <v>1488</v>
      </c>
      <c r="B390">
        <v>1</v>
      </c>
    </row>
    <row r="391" spans="1:2">
      <c r="A391" t="s">
        <v>1492</v>
      </c>
      <c r="B391">
        <v>1</v>
      </c>
    </row>
    <row r="392" spans="1:2">
      <c r="A392" t="s">
        <v>1495</v>
      </c>
      <c r="B392">
        <v>1</v>
      </c>
    </row>
    <row r="393" spans="1:2">
      <c r="A393" t="s">
        <v>1498</v>
      </c>
      <c r="B393">
        <v>1</v>
      </c>
    </row>
    <row r="394" spans="1:2">
      <c r="A394" t="s">
        <v>1502</v>
      </c>
      <c r="B394">
        <v>1</v>
      </c>
    </row>
    <row r="395" spans="1:2">
      <c r="A395" t="s">
        <v>1505</v>
      </c>
      <c r="B395">
        <v>1</v>
      </c>
    </row>
    <row r="396" spans="1:2">
      <c r="A396" t="s">
        <v>1509</v>
      </c>
      <c r="B396">
        <v>1</v>
      </c>
    </row>
    <row r="397" spans="1:2">
      <c r="A397" t="s">
        <v>1513</v>
      </c>
      <c r="B397">
        <v>1</v>
      </c>
    </row>
    <row r="398" spans="1:2">
      <c r="A398" t="s">
        <v>1517</v>
      </c>
      <c r="B398">
        <v>1</v>
      </c>
    </row>
    <row r="399" spans="1:2">
      <c r="A399" t="s">
        <v>1520</v>
      </c>
      <c r="B399">
        <v>1</v>
      </c>
    </row>
    <row r="400" spans="1:2">
      <c r="A400" t="s">
        <v>1523</v>
      </c>
      <c r="B400">
        <v>1</v>
      </c>
    </row>
    <row r="401" spans="1:2">
      <c r="A401" t="s">
        <v>1526</v>
      </c>
      <c r="B401">
        <v>1</v>
      </c>
    </row>
    <row r="402" spans="1:2">
      <c r="A402" t="s">
        <v>1529</v>
      </c>
      <c r="B402">
        <v>1</v>
      </c>
    </row>
    <row r="403" spans="1:2">
      <c r="A403" t="s">
        <v>1532</v>
      </c>
      <c r="B403">
        <v>1</v>
      </c>
    </row>
    <row r="404" spans="1:2">
      <c r="A404" t="s">
        <v>1536</v>
      </c>
      <c r="B404">
        <v>1</v>
      </c>
    </row>
    <row r="405" spans="1:2">
      <c r="A405" t="s">
        <v>1539</v>
      </c>
      <c r="B405">
        <v>1</v>
      </c>
    </row>
    <row r="406" spans="1:2">
      <c r="A406" t="s">
        <v>1542</v>
      </c>
      <c r="B406">
        <v>1</v>
      </c>
    </row>
    <row r="407" spans="1:2">
      <c r="A407" t="s">
        <v>1545</v>
      </c>
      <c r="B407">
        <v>1</v>
      </c>
    </row>
    <row r="408" spans="1:2">
      <c r="A408" t="s">
        <v>1548</v>
      </c>
      <c r="B408">
        <v>1</v>
      </c>
    </row>
    <row r="409" spans="1:2">
      <c r="A409" t="s">
        <v>1551</v>
      </c>
      <c r="B409">
        <v>1</v>
      </c>
    </row>
    <row r="410" spans="1:2">
      <c r="A410" t="s">
        <v>1554</v>
      </c>
      <c r="B410">
        <v>1</v>
      </c>
    </row>
    <row r="411" spans="1:2">
      <c r="A411" t="s">
        <v>1558</v>
      </c>
      <c r="B411">
        <v>1</v>
      </c>
    </row>
    <row r="412" spans="1:2">
      <c r="A412" t="s">
        <v>1561</v>
      </c>
      <c r="B412">
        <v>1</v>
      </c>
    </row>
    <row r="413" spans="1:2">
      <c r="A413" t="s">
        <v>1564</v>
      </c>
      <c r="B413">
        <v>1</v>
      </c>
    </row>
    <row r="414" spans="1:2">
      <c r="A414" t="s">
        <v>1567</v>
      </c>
      <c r="B414">
        <v>1</v>
      </c>
    </row>
    <row r="415" spans="1:2">
      <c r="A415" t="s">
        <v>1570</v>
      </c>
      <c r="B415">
        <v>1</v>
      </c>
    </row>
    <row r="416" spans="1:2">
      <c r="A416" t="s">
        <v>1573</v>
      </c>
      <c r="B416">
        <v>1</v>
      </c>
    </row>
    <row r="417" spans="1:2">
      <c r="A417" t="s">
        <v>1576</v>
      </c>
      <c r="B417">
        <v>1</v>
      </c>
    </row>
    <row r="418" spans="1:2">
      <c r="A418" t="s">
        <v>1579</v>
      </c>
      <c r="B418">
        <v>1</v>
      </c>
    </row>
    <row r="419" spans="1:2">
      <c r="A419" t="s">
        <v>1583</v>
      </c>
      <c r="B419">
        <v>1</v>
      </c>
    </row>
    <row r="420" spans="1:2">
      <c r="A420" t="s">
        <v>1586</v>
      </c>
      <c r="B420">
        <v>1</v>
      </c>
    </row>
    <row r="421" spans="1:2">
      <c r="A421" t="s">
        <v>1589</v>
      </c>
      <c r="B421">
        <v>1</v>
      </c>
    </row>
    <row r="422" spans="1:2">
      <c r="A422" t="s">
        <v>1592</v>
      </c>
      <c r="B422">
        <v>1</v>
      </c>
    </row>
    <row r="423" spans="1:2">
      <c r="A423" t="s">
        <v>1595</v>
      </c>
      <c r="B423">
        <v>1</v>
      </c>
    </row>
    <row r="424" spans="1:2">
      <c r="A424" t="s">
        <v>1599</v>
      </c>
      <c r="B424">
        <v>1</v>
      </c>
    </row>
    <row r="425" spans="1:2">
      <c r="A425" t="s">
        <v>1605</v>
      </c>
      <c r="B425">
        <v>1</v>
      </c>
    </row>
    <row r="426" spans="1:2">
      <c r="A426" t="s">
        <v>1608</v>
      </c>
      <c r="B426">
        <v>1</v>
      </c>
    </row>
    <row r="427" spans="1:2">
      <c r="A427" t="s">
        <v>1611</v>
      </c>
      <c r="B427">
        <v>1</v>
      </c>
    </row>
    <row r="428" spans="1:2">
      <c r="A428" t="s">
        <v>1615</v>
      </c>
      <c r="B428">
        <v>1</v>
      </c>
    </row>
    <row r="429" spans="1:2">
      <c r="A429" t="s">
        <v>1618</v>
      </c>
      <c r="B429">
        <v>1</v>
      </c>
    </row>
    <row r="430" spans="1:2">
      <c r="A430" t="s">
        <v>1621</v>
      </c>
      <c r="B430">
        <v>1</v>
      </c>
    </row>
    <row r="431" spans="1:2">
      <c r="A431" t="s">
        <v>1624</v>
      </c>
      <c r="B431">
        <v>1</v>
      </c>
    </row>
    <row r="432" spans="1:2">
      <c r="A432" t="s">
        <v>1627</v>
      </c>
      <c r="B432">
        <v>1</v>
      </c>
    </row>
    <row r="433" spans="1:2">
      <c r="A433" t="s">
        <v>1631</v>
      </c>
      <c r="B433">
        <v>1</v>
      </c>
    </row>
    <row r="434" spans="1:2">
      <c r="A434" t="s">
        <v>1634</v>
      </c>
      <c r="B434">
        <v>1</v>
      </c>
    </row>
    <row r="435" spans="1:2">
      <c r="A435" t="s">
        <v>1637</v>
      </c>
      <c r="B435">
        <v>1</v>
      </c>
    </row>
    <row r="436" spans="1:2">
      <c r="A436" t="s">
        <v>1640</v>
      </c>
      <c r="B436">
        <v>1</v>
      </c>
    </row>
    <row r="437" spans="1:2">
      <c r="A437" t="s">
        <v>1644</v>
      </c>
      <c r="B437">
        <v>1</v>
      </c>
    </row>
    <row r="438" spans="1:2">
      <c r="A438" t="s">
        <v>1647</v>
      </c>
      <c r="B438">
        <v>1</v>
      </c>
    </row>
    <row r="439" spans="1:2">
      <c r="A439" t="s">
        <v>1650</v>
      </c>
      <c r="B439">
        <v>1</v>
      </c>
    </row>
    <row r="440" spans="1:2">
      <c r="A440" t="s">
        <v>1653</v>
      </c>
      <c r="B440">
        <v>1</v>
      </c>
    </row>
    <row r="441" spans="1:2">
      <c r="A441" t="s">
        <v>1656</v>
      </c>
      <c r="B441">
        <v>1</v>
      </c>
    </row>
    <row r="442" spans="1:2">
      <c r="A442" t="s">
        <v>1659</v>
      </c>
      <c r="B442">
        <v>1</v>
      </c>
    </row>
    <row r="443" spans="1:2">
      <c r="A443" t="s">
        <v>1662</v>
      </c>
      <c r="B443">
        <v>1</v>
      </c>
    </row>
    <row r="444" spans="1:2">
      <c r="A444" t="s">
        <v>1665</v>
      </c>
      <c r="B444">
        <v>1</v>
      </c>
    </row>
    <row r="445" spans="1:2">
      <c r="A445" t="s">
        <v>1669</v>
      </c>
      <c r="B445">
        <v>1</v>
      </c>
    </row>
    <row r="446" spans="1:2">
      <c r="A446" t="s">
        <v>1672</v>
      </c>
      <c r="B446">
        <v>1</v>
      </c>
    </row>
    <row r="447" spans="1:2">
      <c r="A447" t="s">
        <v>1675</v>
      </c>
      <c r="B447">
        <v>1</v>
      </c>
    </row>
    <row r="448" spans="1:2">
      <c r="A448" t="s">
        <v>1678</v>
      </c>
      <c r="B448">
        <v>1</v>
      </c>
    </row>
    <row r="449" spans="1:2">
      <c r="A449" t="s">
        <v>1681</v>
      </c>
      <c r="B449">
        <v>1</v>
      </c>
    </row>
    <row r="450" spans="1:2">
      <c r="A450" t="s">
        <v>1684</v>
      </c>
      <c r="B450">
        <v>1</v>
      </c>
    </row>
    <row r="451" spans="1:2">
      <c r="A451" t="s">
        <v>1687</v>
      </c>
      <c r="B451">
        <v>1</v>
      </c>
    </row>
    <row r="452" spans="1:2">
      <c r="A452" t="s">
        <v>1690</v>
      </c>
      <c r="B452">
        <v>1</v>
      </c>
    </row>
    <row r="453" spans="1:2">
      <c r="A453" t="s">
        <v>1693</v>
      </c>
      <c r="B453">
        <v>1</v>
      </c>
    </row>
    <row r="454" spans="1:2">
      <c r="A454" t="s">
        <v>1696</v>
      </c>
      <c r="B454">
        <v>1</v>
      </c>
    </row>
    <row r="455" spans="1:2">
      <c r="A455" t="s">
        <v>1699</v>
      </c>
      <c r="B455">
        <v>1</v>
      </c>
    </row>
    <row r="456" spans="1:2">
      <c r="A456" t="s">
        <v>1702</v>
      </c>
      <c r="B456">
        <v>1</v>
      </c>
    </row>
    <row r="457" spans="1:2">
      <c r="A457" t="s">
        <v>1705</v>
      </c>
      <c r="B457">
        <v>1</v>
      </c>
    </row>
    <row r="458" spans="1:2">
      <c r="A458" t="s">
        <v>1708</v>
      </c>
      <c r="B458">
        <v>1</v>
      </c>
    </row>
    <row r="459" spans="1:2">
      <c r="A459" t="s">
        <v>1712</v>
      </c>
      <c r="B459">
        <v>1</v>
      </c>
    </row>
    <row r="460" spans="1:2">
      <c r="A460" t="s">
        <v>1715</v>
      </c>
      <c r="B460">
        <v>1</v>
      </c>
    </row>
    <row r="461" spans="1:2">
      <c r="A461" t="s">
        <v>1718</v>
      </c>
      <c r="B461">
        <v>1</v>
      </c>
    </row>
    <row r="462" spans="1:2">
      <c r="A462" t="s">
        <v>1721</v>
      </c>
      <c r="B462">
        <v>1</v>
      </c>
    </row>
    <row r="463" spans="1:2">
      <c r="A463" t="s">
        <v>1724</v>
      </c>
      <c r="B463">
        <v>1</v>
      </c>
    </row>
    <row r="464" spans="1:2">
      <c r="A464" t="s">
        <v>1727</v>
      </c>
      <c r="B464">
        <v>1</v>
      </c>
    </row>
    <row r="465" spans="1:2">
      <c r="A465" t="s">
        <v>1730</v>
      </c>
      <c r="B465">
        <v>1</v>
      </c>
    </row>
    <row r="466" spans="1:2">
      <c r="A466" t="s">
        <v>1733</v>
      </c>
      <c r="B466">
        <v>1</v>
      </c>
    </row>
    <row r="467" spans="1:2">
      <c r="A467" t="s">
        <v>1736</v>
      </c>
      <c r="B467">
        <v>1</v>
      </c>
    </row>
    <row r="468" spans="1:2">
      <c r="A468" t="s">
        <v>1739</v>
      </c>
      <c r="B468">
        <v>1</v>
      </c>
    </row>
    <row r="469" spans="1:2">
      <c r="A469" t="s">
        <v>1742</v>
      </c>
      <c r="B469">
        <v>1</v>
      </c>
    </row>
    <row r="470" spans="1:2">
      <c r="A470" t="s">
        <v>1745</v>
      </c>
      <c r="B470">
        <v>1</v>
      </c>
    </row>
    <row r="471" spans="1:2">
      <c r="A471" t="s">
        <v>1748</v>
      </c>
      <c r="B471">
        <v>1</v>
      </c>
    </row>
    <row r="472" spans="1:2">
      <c r="A472" t="s">
        <v>1750</v>
      </c>
      <c r="B472">
        <v>1</v>
      </c>
    </row>
    <row r="473" spans="1:2">
      <c r="A473" t="s">
        <v>1753</v>
      </c>
      <c r="B473">
        <v>1</v>
      </c>
    </row>
    <row r="474" spans="1:2">
      <c r="A474" t="s">
        <v>1757</v>
      </c>
      <c r="B474">
        <v>1</v>
      </c>
    </row>
    <row r="475" spans="1:2">
      <c r="A475" t="s">
        <v>1761</v>
      </c>
      <c r="B475">
        <v>1</v>
      </c>
    </row>
    <row r="476" spans="1:2">
      <c r="A476" t="s">
        <v>1767</v>
      </c>
      <c r="B476">
        <v>1</v>
      </c>
    </row>
    <row r="477" spans="1:2">
      <c r="A477" t="s">
        <v>1770</v>
      </c>
      <c r="B477">
        <v>1</v>
      </c>
    </row>
    <row r="478" spans="1:2">
      <c r="A478" t="s">
        <v>1774</v>
      </c>
      <c r="B478">
        <v>1</v>
      </c>
    </row>
    <row r="479" spans="1:2">
      <c r="A479" t="s">
        <v>1777</v>
      </c>
      <c r="B479">
        <v>1</v>
      </c>
    </row>
    <row r="480" spans="1:2">
      <c r="A480" t="s">
        <v>1781</v>
      </c>
      <c r="B480">
        <v>1</v>
      </c>
    </row>
    <row r="481" spans="1:2">
      <c r="A481" t="s">
        <v>1784</v>
      </c>
      <c r="B481">
        <v>1</v>
      </c>
    </row>
    <row r="482" spans="1:2">
      <c r="A482" t="s">
        <v>1788</v>
      </c>
      <c r="B482">
        <v>1</v>
      </c>
    </row>
    <row r="483" spans="1:2">
      <c r="A483" t="s">
        <v>1791</v>
      </c>
      <c r="B483">
        <v>1</v>
      </c>
    </row>
    <row r="484" spans="1:2">
      <c r="A484" t="s">
        <v>1795</v>
      </c>
      <c r="B484">
        <v>1</v>
      </c>
    </row>
    <row r="485" spans="1:2">
      <c r="A485" t="s">
        <v>1798</v>
      </c>
      <c r="B485">
        <v>1</v>
      </c>
    </row>
    <row r="486" spans="1:2">
      <c r="A486" t="s">
        <v>1801</v>
      </c>
      <c r="B486">
        <v>1</v>
      </c>
    </row>
    <row r="487" spans="1:2">
      <c r="A487" t="s">
        <v>1804</v>
      </c>
      <c r="B487">
        <v>1</v>
      </c>
    </row>
    <row r="488" spans="1:2">
      <c r="A488" t="s">
        <v>1807</v>
      </c>
      <c r="B488">
        <v>1</v>
      </c>
    </row>
    <row r="489" spans="1:2">
      <c r="A489" t="s">
        <v>1810</v>
      </c>
      <c r="B489">
        <v>1</v>
      </c>
    </row>
    <row r="490" spans="1:2">
      <c r="A490" t="s">
        <v>1813</v>
      </c>
      <c r="B490">
        <v>1</v>
      </c>
    </row>
    <row r="491" spans="1:2">
      <c r="A491" t="s">
        <v>1816</v>
      </c>
      <c r="B491">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E3170-ABEE-4434-827C-F18207ECF3E8}">
  <dimension ref="A3:F15"/>
  <sheetViews>
    <sheetView workbookViewId="0">
      <selection activeCell="M15" sqref="M15"/>
    </sheetView>
  </sheetViews>
  <sheetFormatPr defaultRowHeight="14.5"/>
  <cols>
    <col min="1" max="1" width="20.81640625" customWidth="1"/>
    <col min="2" max="2" width="10.6328125" customWidth="1"/>
    <col min="3" max="3" width="17" customWidth="1"/>
    <col min="4" max="4" width="13.7265625" customWidth="1"/>
    <col min="5" max="5" width="20.453125" customWidth="1"/>
    <col min="6" max="6" width="20.54296875" bestFit="1" customWidth="1"/>
  </cols>
  <sheetData>
    <row r="3" spans="1:6">
      <c r="A3" s="13" t="s">
        <v>35</v>
      </c>
      <c r="B3" s="13" t="s">
        <v>37</v>
      </c>
      <c r="C3" s="13" t="s">
        <v>38</v>
      </c>
      <c r="D3" s="13" t="s">
        <v>40</v>
      </c>
      <c r="E3" s="13" t="s">
        <v>1852</v>
      </c>
      <c r="F3" t="s">
        <v>1880</v>
      </c>
    </row>
    <row r="4" spans="1:6">
      <c r="A4" s="19" t="s">
        <v>1138</v>
      </c>
      <c r="B4" s="19" t="s">
        <v>132</v>
      </c>
      <c r="C4" s="19" t="s">
        <v>71</v>
      </c>
      <c r="D4" s="20">
        <v>10161125</v>
      </c>
      <c r="E4" s="19" t="s">
        <v>1854</v>
      </c>
      <c r="F4" s="9">
        <v>10161125</v>
      </c>
    </row>
    <row r="5" spans="1:6">
      <c r="A5" s="19"/>
      <c r="B5" s="19" t="s">
        <v>50</v>
      </c>
      <c r="C5" s="19" t="s">
        <v>58</v>
      </c>
      <c r="D5" s="20">
        <v>3705140</v>
      </c>
      <c r="E5" s="19" t="s">
        <v>1854</v>
      </c>
      <c r="F5" s="9">
        <v>3705140</v>
      </c>
    </row>
    <row r="6" spans="1:6">
      <c r="A6" s="19" t="s">
        <v>1261</v>
      </c>
      <c r="B6" s="19" t="s">
        <v>64</v>
      </c>
      <c r="C6" s="19" t="s">
        <v>82</v>
      </c>
      <c r="D6" s="20">
        <v>45336710</v>
      </c>
      <c r="E6" s="19" t="s">
        <v>1859</v>
      </c>
      <c r="F6" s="9">
        <v>45336710</v>
      </c>
    </row>
    <row r="7" spans="1:6">
      <c r="A7" s="19" t="s">
        <v>1592</v>
      </c>
      <c r="B7" s="19" t="s">
        <v>50</v>
      </c>
      <c r="C7" s="19" t="s">
        <v>82</v>
      </c>
      <c r="D7" s="20">
        <v>185450623</v>
      </c>
      <c r="E7" s="19" t="s">
        <v>1859</v>
      </c>
      <c r="F7" s="9">
        <v>185450623</v>
      </c>
    </row>
    <row r="8" spans="1:6">
      <c r="A8" s="19" t="s">
        <v>1408</v>
      </c>
      <c r="B8" s="19" t="s">
        <v>138</v>
      </c>
      <c r="C8" s="19" t="s">
        <v>71</v>
      </c>
      <c r="D8" s="20">
        <v>30046366</v>
      </c>
      <c r="E8" s="19" t="s">
        <v>1857</v>
      </c>
      <c r="F8" s="9">
        <v>30046366</v>
      </c>
    </row>
    <row r="9" spans="1:6">
      <c r="A9" s="19" t="s">
        <v>163</v>
      </c>
      <c r="B9" s="19" t="s">
        <v>70</v>
      </c>
      <c r="C9" s="19" t="s">
        <v>97</v>
      </c>
      <c r="D9" s="20">
        <v>19873169</v>
      </c>
      <c r="E9" s="19" t="s">
        <v>1857</v>
      </c>
      <c r="F9" s="9">
        <v>19873169</v>
      </c>
    </row>
    <row r="10" spans="1:6">
      <c r="A10" s="19" t="s">
        <v>632</v>
      </c>
      <c r="B10" s="19" t="s">
        <v>70</v>
      </c>
      <c r="C10" s="19" t="s">
        <v>82</v>
      </c>
      <c r="D10" s="20">
        <v>9462643</v>
      </c>
      <c r="E10" s="19" t="s">
        <v>1854</v>
      </c>
      <c r="F10" s="9">
        <v>9462643</v>
      </c>
    </row>
    <row r="11" spans="1:6">
      <c r="A11" s="19"/>
      <c r="B11" s="19" t="s">
        <v>64</v>
      </c>
      <c r="C11" s="19" t="s">
        <v>82</v>
      </c>
      <c r="D11" s="20">
        <v>7396153</v>
      </c>
      <c r="E11" s="19" t="s">
        <v>1854</v>
      </c>
      <c r="F11" s="9">
        <v>7396153</v>
      </c>
    </row>
    <row r="12" spans="1:6">
      <c r="A12" s="19" t="s">
        <v>1042</v>
      </c>
      <c r="B12" s="19" t="s">
        <v>102</v>
      </c>
      <c r="C12" s="19" t="s">
        <v>82</v>
      </c>
      <c r="D12" s="20">
        <v>135379068</v>
      </c>
      <c r="E12" s="19" t="s">
        <v>1859</v>
      </c>
      <c r="F12" s="9">
        <v>135379068</v>
      </c>
    </row>
    <row r="13" spans="1:6">
      <c r="A13" s="19" t="s">
        <v>1509</v>
      </c>
      <c r="B13" s="19" t="s">
        <v>70</v>
      </c>
      <c r="C13" s="19" t="s">
        <v>58</v>
      </c>
      <c r="D13" s="20">
        <v>15704596</v>
      </c>
      <c r="E13" s="19" t="s">
        <v>1857</v>
      </c>
      <c r="F13" s="9">
        <v>15704596</v>
      </c>
    </row>
    <row r="14" spans="1:6">
      <c r="A14" s="19" t="s">
        <v>541</v>
      </c>
      <c r="B14" s="19" t="s">
        <v>57</v>
      </c>
      <c r="C14" s="19" t="s">
        <v>82</v>
      </c>
      <c r="D14" s="20">
        <v>85874072</v>
      </c>
      <c r="E14" s="19" t="s">
        <v>1859</v>
      </c>
      <c r="F14" s="9">
        <v>85874072</v>
      </c>
    </row>
    <row r="15" spans="1:6" ht="29">
      <c r="A15" s="19" t="s">
        <v>807</v>
      </c>
      <c r="B15" s="19" t="s">
        <v>138</v>
      </c>
      <c r="C15" s="19" t="s">
        <v>71</v>
      </c>
      <c r="D15" s="20">
        <v>119505943</v>
      </c>
      <c r="E15" s="21" t="s">
        <v>1861</v>
      </c>
      <c r="F15" s="9">
        <v>119505943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5F4E1-59B6-40AD-BB25-8E3AA2947073}">
  <dimension ref="A1:AD112"/>
  <sheetViews>
    <sheetView topLeftCell="A2" workbookViewId="0">
      <selection activeCell="E8" sqref="E8"/>
    </sheetView>
  </sheetViews>
  <sheetFormatPr defaultRowHeight="14.5"/>
  <cols>
    <col min="1" max="1" width="19.08984375" customWidth="1"/>
    <col min="2" max="2" width="18.7265625" customWidth="1"/>
    <col min="3" max="3" width="19.453125" customWidth="1"/>
    <col min="4" max="4" width="15.7265625" customWidth="1"/>
    <col min="5" max="5" width="17.81640625" customWidth="1"/>
    <col min="6" max="6" width="16.453125" customWidth="1"/>
    <col min="7" max="7" width="10.81640625" customWidth="1"/>
    <col min="8" max="8" width="15.81640625" customWidth="1"/>
    <col min="9" max="9" width="24.08984375" customWidth="1"/>
    <col min="10" max="10" width="13.54296875" customWidth="1"/>
    <col min="11" max="11" width="23.6328125" customWidth="1"/>
    <col min="12" max="12" width="11.54296875" customWidth="1"/>
    <col min="13" max="13" width="11.453125" customWidth="1"/>
    <col min="14" max="14" width="28.26953125" customWidth="1"/>
    <col min="15" max="15" width="19.6328125" customWidth="1"/>
    <col min="16" max="16" width="12.26953125" customWidth="1"/>
    <col min="17" max="17" width="42.08984375" customWidth="1"/>
    <col min="18" max="18" width="24.90625" customWidth="1"/>
    <col min="19" max="19" width="25.54296875" customWidth="1"/>
    <col min="20" max="20" width="12" customWidth="1"/>
    <col min="21" max="21" width="17.08984375" customWidth="1"/>
    <col min="22" max="22" width="19.7265625" customWidth="1"/>
    <col min="23" max="23" width="21.81640625" customWidth="1"/>
    <col min="24" max="24" width="17.54296875" customWidth="1"/>
    <col min="25" max="25" width="21.08984375" customWidth="1"/>
    <col min="26" max="26" width="22.36328125" customWidth="1"/>
    <col min="27" max="27" width="23.54296875" customWidth="1"/>
    <col min="28" max="28" width="14.90625" customWidth="1"/>
    <col min="29" max="29" width="15.36328125" customWidth="1"/>
    <col min="30" max="30" width="60.36328125" customWidth="1"/>
  </cols>
  <sheetData>
    <row r="1" spans="1:30">
      <c r="A1" t="s">
        <v>35</v>
      </c>
      <c r="B1" t="s">
        <v>36</v>
      </c>
      <c r="C1" t="s">
        <v>37</v>
      </c>
      <c r="D1" t="s">
        <v>38</v>
      </c>
      <c r="E1" t="s">
        <v>39</v>
      </c>
      <c r="F1" t="s">
        <v>40</v>
      </c>
      <c r="G1" t="s">
        <v>41</v>
      </c>
      <c r="H1" t="s">
        <v>42</v>
      </c>
      <c r="I1" t="s">
        <v>43</v>
      </c>
      <c r="J1" t="s">
        <v>44</v>
      </c>
      <c r="K1" t="s">
        <v>45</v>
      </c>
      <c r="L1" t="s">
        <v>46</v>
      </c>
      <c r="M1" t="s">
        <v>47</v>
      </c>
      <c r="N1" t="s">
        <v>1826</v>
      </c>
      <c r="O1" t="s">
        <v>1827</v>
      </c>
      <c r="P1" t="s">
        <v>1825</v>
      </c>
      <c r="Q1" t="s">
        <v>1828</v>
      </c>
      <c r="R1" t="s">
        <v>1829</v>
      </c>
      <c r="S1" t="s">
        <v>1830</v>
      </c>
      <c r="T1" t="s">
        <v>1831</v>
      </c>
      <c r="U1" t="s">
        <v>1832</v>
      </c>
      <c r="V1" t="s">
        <v>1833</v>
      </c>
      <c r="W1" t="s">
        <v>1849</v>
      </c>
      <c r="X1" t="s">
        <v>1834</v>
      </c>
      <c r="Y1" t="s">
        <v>1835</v>
      </c>
      <c r="Z1" t="s">
        <v>1846</v>
      </c>
      <c r="AA1" t="s">
        <v>1847</v>
      </c>
      <c r="AB1" t="s">
        <v>1836</v>
      </c>
      <c r="AC1" t="s">
        <v>1837</v>
      </c>
      <c r="AD1" t="s">
        <v>1852</v>
      </c>
    </row>
    <row r="2" spans="1:30">
      <c r="A2" t="s">
        <v>55</v>
      </c>
      <c r="B2" t="s">
        <v>56</v>
      </c>
      <c r="C2" t="s">
        <v>57</v>
      </c>
      <c r="D2" t="s">
        <v>58</v>
      </c>
      <c r="E2">
        <v>2022</v>
      </c>
      <c r="F2">
        <v>1593640</v>
      </c>
      <c r="G2">
        <v>9.4000000000000004E-3</v>
      </c>
      <c r="H2">
        <v>14980.22</v>
      </c>
      <c r="I2" t="s">
        <v>59</v>
      </c>
      <c r="J2" t="s">
        <v>60</v>
      </c>
      <c r="K2" t="s">
        <v>61</v>
      </c>
      <c r="L2">
        <v>1906986</v>
      </c>
      <c r="M2" s="8">
        <v>44549</v>
      </c>
      <c r="N2" t="s">
        <v>57</v>
      </c>
      <c r="O2">
        <v>9.4000000000000004E-3</v>
      </c>
      <c r="P2">
        <v>1</v>
      </c>
      <c r="Q2" t="s">
        <v>1823</v>
      </c>
      <c r="R2" t="s">
        <v>1838</v>
      </c>
      <c r="S2" t="s">
        <v>1839</v>
      </c>
      <c r="T2" t="s">
        <v>1838</v>
      </c>
      <c r="U2" t="s">
        <v>1840</v>
      </c>
      <c r="V2" t="s">
        <v>1842</v>
      </c>
      <c r="W2" t="s">
        <v>1838</v>
      </c>
      <c r="X2" t="s">
        <v>1838</v>
      </c>
      <c r="Y2" t="s">
        <v>1841</v>
      </c>
      <c r="Z2">
        <v>4842179.1619999995</v>
      </c>
      <c r="AA2">
        <v>12553041.036323847</v>
      </c>
      <c r="AB2" t="s">
        <v>1850</v>
      </c>
      <c r="AC2" t="s">
        <v>1843</v>
      </c>
      <c r="AD2" t="s">
        <v>1853</v>
      </c>
    </row>
    <row r="3" spans="1:30">
      <c r="A3" t="s">
        <v>183</v>
      </c>
      <c r="B3" t="s">
        <v>56</v>
      </c>
      <c r="C3" t="s">
        <v>57</v>
      </c>
      <c r="D3" t="s">
        <v>58</v>
      </c>
      <c r="E3">
        <v>2024</v>
      </c>
      <c r="F3">
        <v>635105</v>
      </c>
      <c r="G3">
        <v>9.4000000000000004E-3</v>
      </c>
      <c r="H3">
        <v>5969.99</v>
      </c>
      <c r="I3" t="s">
        <v>184</v>
      </c>
      <c r="J3" t="s">
        <v>185</v>
      </c>
      <c r="K3" t="s">
        <v>186</v>
      </c>
      <c r="L3">
        <v>691234</v>
      </c>
      <c r="M3" s="8">
        <v>45701</v>
      </c>
      <c r="N3" t="s">
        <v>57</v>
      </c>
      <c r="O3">
        <v>9.4000000000000004E-3</v>
      </c>
      <c r="P3">
        <v>2</v>
      </c>
      <c r="Q3" t="s">
        <v>1823</v>
      </c>
      <c r="R3" t="s">
        <v>1838</v>
      </c>
      <c r="S3" t="s">
        <v>1839</v>
      </c>
      <c r="T3" t="s">
        <v>1838</v>
      </c>
      <c r="U3" t="s">
        <v>1844</v>
      </c>
      <c r="V3" t="s">
        <v>1838</v>
      </c>
      <c r="W3" t="s">
        <v>1838</v>
      </c>
      <c r="X3" t="s">
        <v>1838</v>
      </c>
      <c r="Y3" t="s">
        <v>1841</v>
      </c>
      <c r="Z3">
        <v>4842179.1619999995</v>
      </c>
      <c r="AA3">
        <v>12553041.036323847</v>
      </c>
      <c r="AB3" t="s">
        <v>1850</v>
      </c>
      <c r="AC3" t="s">
        <v>1843</v>
      </c>
      <c r="AD3" t="s">
        <v>1854</v>
      </c>
    </row>
    <row r="4" spans="1:30">
      <c r="A4" t="s">
        <v>183</v>
      </c>
      <c r="B4" t="s">
        <v>56</v>
      </c>
      <c r="C4" t="s">
        <v>57</v>
      </c>
      <c r="D4" t="s">
        <v>58</v>
      </c>
      <c r="E4">
        <v>2023</v>
      </c>
      <c r="F4">
        <v>658934</v>
      </c>
      <c r="G4">
        <v>9.4000000000000004E-3</v>
      </c>
      <c r="H4">
        <v>6193.98</v>
      </c>
      <c r="I4" t="s">
        <v>203</v>
      </c>
      <c r="J4" t="s">
        <v>204</v>
      </c>
      <c r="K4" t="s">
        <v>205</v>
      </c>
      <c r="L4">
        <v>655329</v>
      </c>
      <c r="M4" s="8">
        <v>45486</v>
      </c>
      <c r="N4" t="s">
        <v>57</v>
      </c>
      <c r="O4">
        <v>9.4000000000000004E-3</v>
      </c>
      <c r="P4">
        <v>2</v>
      </c>
      <c r="Q4" t="s">
        <v>1823</v>
      </c>
      <c r="R4" t="s">
        <v>1838</v>
      </c>
      <c r="S4" t="s">
        <v>1839</v>
      </c>
      <c r="T4" t="s">
        <v>1838</v>
      </c>
      <c r="U4" t="s">
        <v>1844</v>
      </c>
      <c r="V4" t="s">
        <v>1838</v>
      </c>
      <c r="W4" t="s">
        <v>1838</v>
      </c>
      <c r="X4" t="s">
        <v>1838</v>
      </c>
      <c r="Y4" t="s">
        <v>1841</v>
      </c>
      <c r="Z4">
        <v>4842179.1619999995</v>
      </c>
      <c r="AA4">
        <v>12553041.036323847</v>
      </c>
      <c r="AB4" t="s">
        <v>1850</v>
      </c>
      <c r="AC4" t="s">
        <v>1843</v>
      </c>
      <c r="AD4" t="s">
        <v>1854</v>
      </c>
    </row>
    <row r="5" spans="1:30">
      <c r="A5" t="s">
        <v>81</v>
      </c>
      <c r="B5" t="s">
        <v>76</v>
      </c>
      <c r="C5" t="s">
        <v>77</v>
      </c>
      <c r="D5" t="s">
        <v>82</v>
      </c>
      <c r="E5">
        <v>2023</v>
      </c>
      <c r="F5">
        <v>10228390</v>
      </c>
      <c r="G5">
        <v>1.47E-2</v>
      </c>
      <c r="H5">
        <v>150357.32999999999</v>
      </c>
      <c r="I5" t="s">
        <v>83</v>
      </c>
      <c r="J5" t="s">
        <v>84</v>
      </c>
      <c r="K5" t="s">
        <v>85</v>
      </c>
      <c r="L5">
        <v>9432976</v>
      </c>
      <c r="M5" s="8">
        <v>44612</v>
      </c>
      <c r="N5" t="s">
        <v>77</v>
      </c>
      <c r="O5">
        <v>1.47E-2</v>
      </c>
      <c r="P5">
        <v>1</v>
      </c>
      <c r="Q5" t="s">
        <v>1824</v>
      </c>
      <c r="R5" t="s">
        <v>1838</v>
      </c>
      <c r="S5" t="s">
        <v>1839</v>
      </c>
      <c r="T5" t="s">
        <v>1838</v>
      </c>
      <c r="U5" t="s">
        <v>1840</v>
      </c>
      <c r="V5" t="s">
        <v>1842</v>
      </c>
      <c r="W5" t="s">
        <v>1838</v>
      </c>
      <c r="X5" t="s">
        <v>1838</v>
      </c>
      <c r="Y5" t="s">
        <v>1841</v>
      </c>
      <c r="Z5">
        <v>4842179.1619999995</v>
      </c>
      <c r="AA5">
        <v>12553041.036323847</v>
      </c>
      <c r="AB5" t="s">
        <v>1850</v>
      </c>
      <c r="AC5" t="s">
        <v>1843</v>
      </c>
      <c r="AD5" t="s">
        <v>1853</v>
      </c>
    </row>
    <row r="6" spans="1:30">
      <c r="A6" t="s">
        <v>114</v>
      </c>
      <c r="B6" t="s">
        <v>101</v>
      </c>
      <c r="C6" t="s">
        <v>102</v>
      </c>
      <c r="D6" t="s">
        <v>97</v>
      </c>
      <c r="E6">
        <v>2024</v>
      </c>
      <c r="F6">
        <v>4485225</v>
      </c>
      <c r="G6">
        <v>2.0899999999999998E-2</v>
      </c>
      <c r="H6">
        <v>93741.2</v>
      </c>
      <c r="I6" t="s">
        <v>115</v>
      </c>
      <c r="J6" t="s">
        <v>116</v>
      </c>
      <c r="K6" t="s">
        <v>117</v>
      </c>
      <c r="L6">
        <v>4945916</v>
      </c>
      <c r="M6" s="8">
        <v>46574</v>
      </c>
      <c r="N6" t="s">
        <v>102</v>
      </c>
      <c r="O6">
        <v>2.0899999999999998E-2</v>
      </c>
      <c r="P6">
        <v>1</v>
      </c>
      <c r="Q6" t="s">
        <v>1821</v>
      </c>
      <c r="R6" t="s">
        <v>1838</v>
      </c>
      <c r="S6" t="s">
        <v>1839</v>
      </c>
      <c r="T6" t="s">
        <v>1838</v>
      </c>
      <c r="U6" t="s">
        <v>1840</v>
      </c>
      <c r="V6" t="s">
        <v>1838</v>
      </c>
      <c r="W6" t="s">
        <v>1838</v>
      </c>
      <c r="X6" t="s">
        <v>1842</v>
      </c>
      <c r="Y6" t="s">
        <v>1841</v>
      </c>
      <c r="Z6">
        <v>4842179.1619999995</v>
      </c>
      <c r="AA6">
        <v>12553041.036323847</v>
      </c>
      <c r="AB6" t="s">
        <v>1850</v>
      </c>
      <c r="AC6" t="s">
        <v>1843</v>
      </c>
      <c r="AD6" t="s">
        <v>1855</v>
      </c>
    </row>
    <row r="7" spans="1:30">
      <c r="A7" t="s">
        <v>210</v>
      </c>
      <c r="B7" t="s">
        <v>131</v>
      </c>
      <c r="C7" t="s">
        <v>132</v>
      </c>
      <c r="D7" t="s">
        <v>58</v>
      </c>
      <c r="E7">
        <v>2022</v>
      </c>
      <c r="F7">
        <v>1354463</v>
      </c>
      <c r="G7">
        <v>9.7999999999999997E-3</v>
      </c>
      <c r="H7">
        <v>13273.74</v>
      </c>
      <c r="I7" t="s">
        <v>211</v>
      </c>
      <c r="J7" t="s">
        <v>212</v>
      </c>
      <c r="K7" t="s">
        <v>213</v>
      </c>
      <c r="L7">
        <v>1482205</v>
      </c>
      <c r="M7" s="8">
        <v>44450</v>
      </c>
      <c r="N7" t="s">
        <v>132</v>
      </c>
      <c r="O7">
        <v>9.7999999999999997E-3</v>
      </c>
      <c r="P7">
        <v>2</v>
      </c>
      <c r="Q7" t="s">
        <v>1823</v>
      </c>
      <c r="R7" t="s">
        <v>1838</v>
      </c>
      <c r="S7" t="s">
        <v>1839</v>
      </c>
      <c r="T7" t="s">
        <v>1838</v>
      </c>
      <c r="U7" t="s">
        <v>1844</v>
      </c>
      <c r="V7" t="s">
        <v>1838</v>
      </c>
      <c r="W7" t="s">
        <v>1838</v>
      </c>
      <c r="X7" t="s">
        <v>1838</v>
      </c>
      <c r="Y7" t="s">
        <v>1841</v>
      </c>
      <c r="Z7">
        <v>4842179.1619999995</v>
      </c>
      <c r="AA7">
        <v>12553041.036323847</v>
      </c>
      <c r="AB7" t="s">
        <v>1850</v>
      </c>
      <c r="AC7" t="s">
        <v>1843</v>
      </c>
      <c r="AD7" t="s">
        <v>1854</v>
      </c>
    </row>
    <row r="8" spans="1:30">
      <c r="A8" t="s">
        <v>210</v>
      </c>
      <c r="B8" t="s">
        <v>56</v>
      </c>
      <c r="C8" t="s">
        <v>57</v>
      </c>
      <c r="D8" t="s">
        <v>82</v>
      </c>
      <c r="E8">
        <v>2021</v>
      </c>
      <c r="F8">
        <v>4913878</v>
      </c>
      <c r="G8">
        <v>1.47E-2</v>
      </c>
      <c r="H8">
        <v>72234.009999999995</v>
      </c>
      <c r="I8" t="s">
        <v>818</v>
      </c>
      <c r="J8" t="s">
        <v>819</v>
      </c>
      <c r="K8" t="s">
        <v>381</v>
      </c>
      <c r="L8">
        <v>4779694</v>
      </c>
      <c r="M8" s="8">
        <v>45434</v>
      </c>
      <c r="N8" t="s">
        <v>57</v>
      </c>
      <c r="O8">
        <v>1.47E-2</v>
      </c>
      <c r="P8">
        <v>2</v>
      </c>
      <c r="Q8" t="s">
        <v>1824</v>
      </c>
      <c r="R8" t="s">
        <v>1838</v>
      </c>
      <c r="S8" t="s">
        <v>1839</v>
      </c>
      <c r="T8" t="s">
        <v>1838</v>
      </c>
      <c r="U8" t="s">
        <v>1844</v>
      </c>
      <c r="V8" t="s">
        <v>1838</v>
      </c>
      <c r="W8" t="s">
        <v>1838</v>
      </c>
      <c r="X8" t="s">
        <v>1838</v>
      </c>
      <c r="Y8" t="s">
        <v>1841</v>
      </c>
      <c r="Z8">
        <v>4842179.1619999995</v>
      </c>
      <c r="AA8">
        <v>12553041.036323847</v>
      </c>
      <c r="AB8" t="s">
        <v>1850</v>
      </c>
      <c r="AC8" t="s">
        <v>1843</v>
      </c>
      <c r="AD8" t="s">
        <v>1854</v>
      </c>
    </row>
    <row r="9" spans="1:30">
      <c r="A9" t="s">
        <v>136</v>
      </c>
      <c r="B9" t="s">
        <v>137</v>
      </c>
      <c r="C9" t="s">
        <v>138</v>
      </c>
      <c r="D9" t="s">
        <v>51</v>
      </c>
      <c r="E9">
        <v>2021</v>
      </c>
      <c r="F9">
        <v>658515</v>
      </c>
      <c r="G9">
        <v>1.2699999999999999E-2</v>
      </c>
      <c r="H9">
        <v>8363.14</v>
      </c>
      <c r="I9" t="s">
        <v>139</v>
      </c>
      <c r="J9" t="s">
        <v>140</v>
      </c>
      <c r="K9" t="s">
        <v>141</v>
      </c>
      <c r="L9">
        <v>718411</v>
      </c>
      <c r="M9" s="8">
        <v>46526</v>
      </c>
      <c r="N9" t="s">
        <v>138</v>
      </c>
      <c r="O9">
        <v>1.2699999999999999E-2</v>
      </c>
      <c r="P9">
        <v>1</v>
      </c>
      <c r="Q9" t="s">
        <v>1820</v>
      </c>
      <c r="R9" t="s">
        <v>1838</v>
      </c>
      <c r="S9" t="s">
        <v>1839</v>
      </c>
      <c r="T9" t="s">
        <v>1838</v>
      </c>
      <c r="U9" t="s">
        <v>1840</v>
      </c>
      <c r="V9" t="s">
        <v>1838</v>
      </c>
      <c r="W9" t="s">
        <v>1838</v>
      </c>
      <c r="X9" t="s">
        <v>1842</v>
      </c>
      <c r="Y9" t="s">
        <v>1841</v>
      </c>
      <c r="Z9">
        <v>4842179.1619999995</v>
      </c>
      <c r="AA9">
        <v>12553041.036323847</v>
      </c>
      <c r="AB9" t="s">
        <v>1850</v>
      </c>
      <c r="AC9" t="s">
        <v>1843</v>
      </c>
      <c r="AD9" t="s">
        <v>1855</v>
      </c>
    </row>
    <row r="10" spans="1:30">
      <c r="A10" t="s">
        <v>142</v>
      </c>
      <c r="B10" t="s">
        <v>87</v>
      </c>
      <c r="C10" t="s">
        <v>84</v>
      </c>
      <c r="D10" t="s">
        <v>82</v>
      </c>
      <c r="E10">
        <v>2022</v>
      </c>
      <c r="F10">
        <v>6332407</v>
      </c>
      <c r="G10">
        <v>1.4800000000000001E-2</v>
      </c>
      <c r="H10">
        <v>93719.62</v>
      </c>
      <c r="I10" t="s">
        <v>143</v>
      </c>
      <c r="J10" t="s">
        <v>144</v>
      </c>
      <c r="K10" t="s">
        <v>141</v>
      </c>
      <c r="L10">
        <v>7750976</v>
      </c>
      <c r="M10" s="8">
        <v>44435</v>
      </c>
      <c r="N10" t="s">
        <v>88</v>
      </c>
      <c r="O10">
        <v>1.4800000000000001E-2</v>
      </c>
      <c r="P10">
        <v>1</v>
      </c>
      <c r="Q10" t="s">
        <v>1824</v>
      </c>
      <c r="R10" t="s">
        <v>1838</v>
      </c>
      <c r="S10" t="s">
        <v>1845</v>
      </c>
      <c r="T10" t="s">
        <v>1838</v>
      </c>
      <c r="U10" t="s">
        <v>1840</v>
      </c>
      <c r="V10" t="s">
        <v>1838</v>
      </c>
      <c r="W10" t="s">
        <v>1838</v>
      </c>
      <c r="X10" t="s">
        <v>1838</v>
      </c>
      <c r="Y10" t="s">
        <v>1841</v>
      </c>
      <c r="Z10">
        <v>4842179.1619999995</v>
      </c>
      <c r="AA10">
        <v>12553041.036323847</v>
      </c>
      <c r="AB10" t="s">
        <v>1850</v>
      </c>
      <c r="AC10" t="s">
        <v>1843</v>
      </c>
      <c r="AD10" t="s">
        <v>1856</v>
      </c>
    </row>
    <row r="11" spans="1:30">
      <c r="A11" t="s">
        <v>163</v>
      </c>
      <c r="B11" t="s">
        <v>69</v>
      </c>
      <c r="C11" t="s">
        <v>70</v>
      </c>
      <c r="D11" t="s">
        <v>97</v>
      </c>
      <c r="E11">
        <v>2023</v>
      </c>
      <c r="F11">
        <v>19873169</v>
      </c>
      <c r="G11">
        <v>2.06E-2</v>
      </c>
      <c r="H11">
        <v>46606.92</v>
      </c>
      <c r="I11" t="s">
        <v>164</v>
      </c>
      <c r="J11" t="s">
        <v>165</v>
      </c>
      <c r="K11" t="s">
        <v>166</v>
      </c>
      <c r="L11">
        <v>2103371</v>
      </c>
      <c r="M11" s="8">
        <v>44886</v>
      </c>
      <c r="N11" t="s">
        <v>70</v>
      </c>
      <c r="O11">
        <v>2.06E-2</v>
      </c>
      <c r="P11">
        <v>1</v>
      </c>
      <c r="Q11" t="s">
        <v>1821</v>
      </c>
      <c r="R11" t="s">
        <v>1838</v>
      </c>
      <c r="S11" t="s">
        <v>1839</v>
      </c>
      <c r="T11" t="s">
        <v>1845</v>
      </c>
      <c r="U11" t="s">
        <v>1840</v>
      </c>
      <c r="V11" t="s">
        <v>1838</v>
      </c>
      <c r="W11" t="s">
        <v>1838</v>
      </c>
      <c r="X11" t="s">
        <v>1838</v>
      </c>
      <c r="Y11" t="s">
        <v>1841</v>
      </c>
      <c r="Z11">
        <v>4842179.1619999995</v>
      </c>
      <c r="AA11">
        <v>12553041.036323847</v>
      </c>
      <c r="AB11" t="s">
        <v>1850</v>
      </c>
      <c r="AC11" t="s">
        <v>1843</v>
      </c>
      <c r="AD11" t="s">
        <v>1857</v>
      </c>
    </row>
    <row r="12" spans="1:30">
      <c r="A12" t="s">
        <v>171</v>
      </c>
      <c r="B12" t="s">
        <v>69</v>
      </c>
      <c r="C12" t="s">
        <v>70</v>
      </c>
      <c r="D12" t="s">
        <v>58</v>
      </c>
      <c r="E12">
        <v>2024</v>
      </c>
      <c r="F12">
        <v>1094966</v>
      </c>
      <c r="G12">
        <v>9.5999999999999992E-3</v>
      </c>
      <c r="H12">
        <v>10411.67</v>
      </c>
      <c r="I12" t="s">
        <v>172</v>
      </c>
      <c r="J12" t="s">
        <v>173</v>
      </c>
      <c r="K12" t="s">
        <v>174</v>
      </c>
      <c r="L12">
        <v>1036570</v>
      </c>
      <c r="M12" s="8">
        <v>45148</v>
      </c>
      <c r="N12" t="s">
        <v>70</v>
      </c>
      <c r="O12">
        <v>9.5999999999999992E-3</v>
      </c>
      <c r="P12">
        <v>1</v>
      </c>
      <c r="Q12" t="s">
        <v>1823</v>
      </c>
      <c r="R12" t="s">
        <v>1838</v>
      </c>
      <c r="S12" t="s">
        <v>1839</v>
      </c>
      <c r="T12" t="s">
        <v>1845</v>
      </c>
      <c r="U12" t="s">
        <v>1840</v>
      </c>
      <c r="V12" t="s">
        <v>1838</v>
      </c>
      <c r="W12" t="s">
        <v>1838</v>
      </c>
      <c r="X12" t="s">
        <v>1838</v>
      </c>
      <c r="Y12" t="s">
        <v>1841</v>
      </c>
      <c r="Z12">
        <v>4842179.1619999995</v>
      </c>
      <c r="AA12">
        <v>12553041.036323847</v>
      </c>
      <c r="AB12" t="s">
        <v>1850</v>
      </c>
      <c r="AC12" t="s">
        <v>1843</v>
      </c>
      <c r="AD12" t="s">
        <v>1857</v>
      </c>
    </row>
    <row r="13" spans="1:30">
      <c r="A13" t="s">
        <v>226</v>
      </c>
      <c r="B13" t="s">
        <v>150</v>
      </c>
      <c r="C13" t="s">
        <v>84</v>
      </c>
      <c r="D13" t="s">
        <v>97</v>
      </c>
      <c r="E13">
        <v>2021</v>
      </c>
      <c r="F13">
        <v>1806945</v>
      </c>
      <c r="G13">
        <v>2.0299999999999999E-2</v>
      </c>
      <c r="H13">
        <v>36680.980000000003</v>
      </c>
      <c r="I13" t="s">
        <v>227</v>
      </c>
      <c r="J13" t="s">
        <v>228</v>
      </c>
      <c r="K13" t="s">
        <v>229</v>
      </c>
      <c r="L13">
        <v>2109708</v>
      </c>
      <c r="M13" s="8">
        <v>44390</v>
      </c>
      <c r="N13" t="s">
        <v>151</v>
      </c>
      <c r="O13">
        <v>2.0299999999999999E-2</v>
      </c>
      <c r="P13">
        <v>1</v>
      </c>
      <c r="Q13" t="s">
        <v>1821</v>
      </c>
      <c r="R13" t="s">
        <v>1838</v>
      </c>
      <c r="S13" t="s">
        <v>1845</v>
      </c>
      <c r="T13" t="s">
        <v>1838</v>
      </c>
      <c r="U13" t="s">
        <v>1840</v>
      </c>
      <c r="V13" t="s">
        <v>1838</v>
      </c>
      <c r="W13" t="s">
        <v>1838</v>
      </c>
      <c r="X13" t="s">
        <v>1838</v>
      </c>
      <c r="Y13" t="s">
        <v>1841</v>
      </c>
      <c r="Z13">
        <v>4842179.1619999995</v>
      </c>
      <c r="AA13">
        <v>12553041.036323847</v>
      </c>
      <c r="AB13" t="s">
        <v>1850</v>
      </c>
      <c r="AC13" t="s">
        <v>1843</v>
      </c>
      <c r="AD13" t="s">
        <v>1856</v>
      </c>
    </row>
    <row r="14" spans="1:30">
      <c r="A14" t="s">
        <v>214</v>
      </c>
      <c r="B14" t="s">
        <v>101</v>
      </c>
      <c r="C14" t="s">
        <v>102</v>
      </c>
      <c r="D14" t="s">
        <v>58</v>
      </c>
      <c r="E14">
        <v>2024</v>
      </c>
      <c r="F14">
        <v>2717984</v>
      </c>
      <c r="G14">
        <v>9.9000000000000008E-3</v>
      </c>
      <c r="H14">
        <v>26908.04</v>
      </c>
      <c r="I14" t="s">
        <v>215</v>
      </c>
      <c r="J14" t="s">
        <v>216</v>
      </c>
      <c r="K14" t="s">
        <v>217</v>
      </c>
      <c r="L14">
        <v>2780861</v>
      </c>
      <c r="M14" s="8">
        <v>45126</v>
      </c>
      <c r="N14" t="s">
        <v>102</v>
      </c>
      <c r="O14">
        <v>9.9000000000000008E-3</v>
      </c>
      <c r="P14">
        <v>2</v>
      </c>
      <c r="Q14" t="s">
        <v>1823</v>
      </c>
      <c r="R14" t="s">
        <v>1838</v>
      </c>
      <c r="S14" t="s">
        <v>1839</v>
      </c>
      <c r="T14" t="s">
        <v>1838</v>
      </c>
      <c r="U14" t="s">
        <v>1844</v>
      </c>
      <c r="V14" t="s">
        <v>1838</v>
      </c>
      <c r="W14" t="s">
        <v>1838</v>
      </c>
      <c r="X14" t="s">
        <v>1838</v>
      </c>
      <c r="Y14" t="s">
        <v>1841</v>
      </c>
      <c r="Z14">
        <v>4842179.1619999995</v>
      </c>
      <c r="AA14">
        <v>12553041.036323847</v>
      </c>
      <c r="AB14" t="s">
        <v>1850</v>
      </c>
      <c r="AC14" t="s">
        <v>1843</v>
      </c>
      <c r="AD14" t="s">
        <v>1854</v>
      </c>
    </row>
    <row r="15" spans="1:30">
      <c r="A15" t="s">
        <v>214</v>
      </c>
      <c r="B15" t="s">
        <v>150</v>
      </c>
      <c r="C15" t="s">
        <v>151</v>
      </c>
      <c r="D15" t="s">
        <v>97</v>
      </c>
      <c r="E15">
        <v>2021</v>
      </c>
      <c r="F15">
        <v>1996935</v>
      </c>
      <c r="G15">
        <v>2.0299999999999999E-2</v>
      </c>
      <c r="H15">
        <v>40537.78</v>
      </c>
      <c r="I15" t="s">
        <v>390</v>
      </c>
      <c r="J15" t="s">
        <v>391</v>
      </c>
      <c r="K15" t="s">
        <v>392</v>
      </c>
      <c r="L15">
        <v>1901745</v>
      </c>
      <c r="M15" s="8">
        <v>45627</v>
      </c>
      <c r="N15" t="s">
        <v>151</v>
      </c>
      <c r="O15">
        <v>2.0299999999999999E-2</v>
      </c>
      <c r="P15">
        <v>2</v>
      </c>
      <c r="Q15" t="s">
        <v>1821</v>
      </c>
      <c r="R15" t="s">
        <v>1838</v>
      </c>
      <c r="S15" t="s">
        <v>1839</v>
      </c>
      <c r="T15" t="s">
        <v>1838</v>
      </c>
      <c r="U15" t="s">
        <v>1844</v>
      </c>
      <c r="V15" t="s">
        <v>1838</v>
      </c>
      <c r="W15" t="s">
        <v>1838</v>
      </c>
      <c r="X15" t="s">
        <v>1838</v>
      </c>
      <c r="Y15" t="s">
        <v>1841</v>
      </c>
      <c r="Z15">
        <v>4842179.1619999995</v>
      </c>
      <c r="AA15">
        <v>12553041.036323847</v>
      </c>
      <c r="AB15" t="s">
        <v>1850</v>
      </c>
      <c r="AC15" t="s">
        <v>1843</v>
      </c>
      <c r="AD15" t="s">
        <v>1854</v>
      </c>
    </row>
    <row r="16" spans="1:30">
      <c r="A16" t="s">
        <v>303</v>
      </c>
      <c r="B16" t="s">
        <v>56</v>
      </c>
      <c r="C16" t="s">
        <v>84</v>
      </c>
      <c r="D16" t="s">
        <v>71</v>
      </c>
      <c r="E16">
        <v>2021</v>
      </c>
      <c r="F16">
        <v>4229631</v>
      </c>
      <c r="G16">
        <v>1.84E-2</v>
      </c>
      <c r="H16">
        <v>77825.210000000006</v>
      </c>
      <c r="I16" t="s">
        <v>304</v>
      </c>
      <c r="J16" t="s">
        <v>305</v>
      </c>
      <c r="K16" t="s">
        <v>306</v>
      </c>
      <c r="L16">
        <v>4674732</v>
      </c>
      <c r="M16" s="8">
        <v>44420</v>
      </c>
      <c r="N16" t="s">
        <v>57</v>
      </c>
      <c r="O16">
        <v>1.84E-2</v>
      </c>
      <c r="P16">
        <v>1</v>
      </c>
      <c r="Q16" t="s">
        <v>1822</v>
      </c>
      <c r="R16" t="s">
        <v>1838</v>
      </c>
      <c r="S16" t="s">
        <v>1845</v>
      </c>
      <c r="T16" t="s">
        <v>1838</v>
      </c>
      <c r="U16" t="s">
        <v>1840</v>
      </c>
      <c r="V16" t="s">
        <v>1838</v>
      </c>
      <c r="W16" t="s">
        <v>1838</v>
      </c>
      <c r="X16" t="s">
        <v>1838</v>
      </c>
      <c r="Y16" t="s">
        <v>1841</v>
      </c>
      <c r="Z16">
        <v>4842179.1619999995</v>
      </c>
      <c r="AA16">
        <v>12553041.036323847</v>
      </c>
      <c r="AB16" t="s">
        <v>1850</v>
      </c>
      <c r="AC16" t="s">
        <v>1843</v>
      </c>
      <c r="AD16" t="s">
        <v>1856</v>
      </c>
    </row>
    <row r="17" spans="1:30">
      <c r="A17" t="s">
        <v>315</v>
      </c>
      <c r="B17" t="s">
        <v>69</v>
      </c>
      <c r="C17" t="s">
        <v>151</v>
      </c>
      <c r="D17" t="s">
        <v>51</v>
      </c>
      <c r="E17">
        <v>2024</v>
      </c>
      <c r="F17">
        <v>947213</v>
      </c>
      <c r="G17">
        <v>1.26E-2</v>
      </c>
      <c r="H17">
        <v>11934.88</v>
      </c>
      <c r="I17" t="s">
        <v>316</v>
      </c>
      <c r="J17" t="s">
        <v>317</v>
      </c>
      <c r="K17" t="s">
        <v>318</v>
      </c>
      <c r="L17">
        <v>1002909</v>
      </c>
      <c r="M17" s="8">
        <v>45436</v>
      </c>
      <c r="N17" t="s">
        <v>70</v>
      </c>
      <c r="O17">
        <v>1.26E-2</v>
      </c>
      <c r="P17">
        <v>1</v>
      </c>
      <c r="Q17" t="s">
        <v>1820</v>
      </c>
      <c r="R17" t="s">
        <v>1838</v>
      </c>
      <c r="S17" t="s">
        <v>1845</v>
      </c>
      <c r="T17" t="s">
        <v>1838</v>
      </c>
      <c r="U17" t="s">
        <v>1840</v>
      </c>
      <c r="V17" t="s">
        <v>1838</v>
      </c>
      <c r="W17" t="s">
        <v>1838</v>
      </c>
      <c r="X17" t="s">
        <v>1838</v>
      </c>
      <c r="Y17" t="s">
        <v>1841</v>
      </c>
      <c r="Z17">
        <v>4842179.1619999995</v>
      </c>
      <c r="AA17">
        <v>12553041.036323847</v>
      </c>
      <c r="AB17" t="s">
        <v>1850</v>
      </c>
      <c r="AC17" t="s">
        <v>1843</v>
      </c>
      <c r="AD17" t="s">
        <v>1856</v>
      </c>
    </row>
    <row r="18" spans="1:30">
      <c r="A18" t="s">
        <v>347</v>
      </c>
      <c r="B18" t="s">
        <v>49</v>
      </c>
      <c r="C18" t="s">
        <v>88</v>
      </c>
      <c r="D18" t="s">
        <v>71</v>
      </c>
      <c r="E18">
        <v>2024</v>
      </c>
      <c r="F18">
        <v>5458093</v>
      </c>
      <c r="G18">
        <v>1.8100000000000002E-2</v>
      </c>
      <c r="H18">
        <v>98791.48</v>
      </c>
      <c r="I18" t="s">
        <v>348</v>
      </c>
      <c r="J18" t="s">
        <v>349</v>
      </c>
      <c r="K18" t="s">
        <v>350</v>
      </c>
      <c r="L18">
        <v>6037224</v>
      </c>
      <c r="M18" s="8">
        <v>45270</v>
      </c>
      <c r="N18" t="s">
        <v>50</v>
      </c>
      <c r="O18">
        <v>1.8100000000000002E-2</v>
      </c>
      <c r="P18">
        <v>1</v>
      </c>
      <c r="Q18" t="s">
        <v>1822</v>
      </c>
      <c r="R18" t="s">
        <v>1838</v>
      </c>
      <c r="S18" t="s">
        <v>1845</v>
      </c>
      <c r="T18" t="s">
        <v>1838</v>
      </c>
      <c r="U18" t="s">
        <v>1840</v>
      </c>
      <c r="V18" t="s">
        <v>1838</v>
      </c>
      <c r="W18" t="s">
        <v>1838</v>
      </c>
      <c r="X18" t="s">
        <v>1838</v>
      </c>
      <c r="Y18" t="s">
        <v>1841</v>
      </c>
      <c r="Z18">
        <v>4842179.1619999995</v>
      </c>
      <c r="AA18">
        <v>12553041.036323847</v>
      </c>
      <c r="AB18" t="s">
        <v>1850</v>
      </c>
      <c r="AC18" t="s">
        <v>1843</v>
      </c>
      <c r="AD18" t="s">
        <v>1856</v>
      </c>
    </row>
    <row r="19" spans="1:30">
      <c r="A19" t="s">
        <v>359</v>
      </c>
      <c r="B19" t="s">
        <v>87</v>
      </c>
      <c r="C19" t="s">
        <v>88</v>
      </c>
      <c r="D19" t="s">
        <v>51</v>
      </c>
      <c r="E19">
        <v>2023</v>
      </c>
      <c r="F19">
        <v>776498</v>
      </c>
      <c r="G19">
        <v>1.2500000000000001E-2</v>
      </c>
      <c r="H19">
        <v>9706.23</v>
      </c>
      <c r="I19" t="s">
        <v>360</v>
      </c>
      <c r="J19" t="s">
        <v>361</v>
      </c>
      <c r="K19" t="s">
        <v>362</v>
      </c>
      <c r="L19">
        <v>945905</v>
      </c>
      <c r="M19" s="8">
        <v>45001</v>
      </c>
      <c r="N19" t="s">
        <v>88</v>
      </c>
      <c r="O19">
        <v>1.2500000000000001E-2</v>
      </c>
      <c r="P19">
        <v>2</v>
      </c>
      <c r="Q19" t="s">
        <v>1820</v>
      </c>
      <c r="R19" t="s">
        <v>1838</v>
      </c>
      <c r="S19" t="s">
        <v>1839</v>
      </c>
      <c r="T19" t="s">
        <v>1838</v>
      </c>
      <c r="U19" t="s">
        <v>1844</v>
      </c>
      <c r="V19" t="s">
        <v>1838</v>
      </c>
      <c r="W19" t="s">
        <v>1838</v>
      </c>
      <c r="X19" t="s">
        <v>1838</v>
      </c>
      <c r="Y19" t="s">
        <v>1841</v>
      </c>
      <c r="Z19">
        <v>4842179.1619999995</v>
      </c>
      <c r="AA19">
        <v>12553041.036323847</v>
      </c>
      <c r="AB19" t="s">
        <v>1850</v>
      </c>
      <c r="AC19" t="s">
        <v>1843</v>
      </c>
      <c r="AD19" t="s">
        <v>1854</v>
      </c>
    </row>
    <row r="20" spans="1:30">
      <c r="A20" t="s">
        <v>359</v>
      </c>
      <c r="B20" t="s">
        <v>101</v>
      </c>
      <c r="C20" t="s">
        <v>102</v>
      </c>
      <c r="D20" t="s">
        <v>71</v>
      </c>
      <c r="E20">
        <v>2022</v>
      </c>
      <c r="F20">
        <v>1246108</v>
      </c>
      <c r="G20">
        <v>1.89E-2</v>
      </c>
      <c r="H20">
        <v>23551.439999999999</v>
      </c>
      <c r="I20" t="s">
        <v>495</v>
      </c>
      <c r="J20" t="s">
        <v>496</v>
      </c>
      <c r="K20" t="s">
        <v>459</v>
      </c>
      <c r="L20">
        <v>1549647</v>
      </c>
      <c r="M20" s="8">
        <v>45421</v>
      </c>
      <c r="N20" t="s">
        <v>102</v>
      </c>
      <c r="O20">
        <v>1.89E-2</v>
      </c>
      <c r="P20">
        <v>2</v>
      </c>
      <c r="Q20" t="s">
        <v>1822</v>
      </c>
      <c r="R20" t="s">
        <v>1838</v>
      </c>
      <c r="S20" t="s">
        <v>1839</v>
      </c>
      <c r="T20" t="s">
        <v>1838</v>
      </c>
      <c r="U20" t="s">
        <v>1844</v>
      </c>
      <c r="V20" t="s">
        <v>1838</v>
      </c>
      <c r="W20" t="s">
        <v>1838</v>
      </c>
      <c r="X20" t="s">
        <v>1838</v>
      </c>
      <c r="Y20" t="s">
        <v>1841</v>
      </c>
      <c r="Z20">
        <v>4842179.1619999995</v>
      </c>
      <c r="AA20">
        <v>12553041.036323847</v>
      </c>
      <c r="AB20" t="s">
        <v>1850</v>
      </c>
      <c r="AC20" t="s">
        <v>1843</v>
      </c>
      <c r="AD20" t="s">
        <v>1854</v>
      </c>
    </row>
    <row r="21" spans="1:30">
      <c r="A21" t="s">
        <v>386</v>
      </c>
      <c r="B21" t="s">
        <v>49</v>
      </c>
      <c r="C21" t="s">
        <v>50</v>
      </c>
      <c r="D21" t="s">
        <v>71</v>
      </c>
      <c r="E21">
        <v>2021</v>
      </c>
      <c r="F21">
        <v>7125154</v>
      </c>
      <c r="G21">
        <v>1.8100000000000002E-2</v>
      </c>
      <c r="H21">
        <v>129115.29</v>
      </c>
      <c r="I21" t="s">
        <v>387</v>
      </c>
      <c r="J21" t="s">
        <v>388</v>
      </c>
      <c r="K21" t="s">
        <v>389</v>
      </c>
      <c r="L21">
        <v>7000623</v>
      </c>
      <c r="M21" s="8">
        <v>43800</v>
      </c>
      <c r="N21" t="s">
        <v>50</v>
      </c>
      <c r="O21">
        <v>1.8100000000000002E-2</v>
      </c>
      <c r="P21">
        <v>1</v>
      </c>
      <c r="Q21" t="s">
        <v>1822</v>
      </c>
      <c r="R21" t="s">
        <v>1838</v>
      </c>
      <c r="S21" t="s">
        <v>1839</v>
      </c>
      <c r="T21" t="s">
        <v>1845</v>
      </c>
      <c r="U21" t="s">
        <v>1840</v>
      </c>
      <c r="V21" t="s">
        <v>1838</v>
      </c>
      <c r="W21" t="s">
        <v>1838</v>
      </c>
      <c r="X21" t="s">
        <v>1838</v>
      </c>
      <c r="Y21" t="s">
        <v>1841</v>
      </c>
      <c r="Z21">
        <v>4842179.1619999995</v>
      </c>
      <c r="AA21">
        <v>12553041.036323847</v>
      </c>
      <c r="AB21" t="s">
        <v>1850</v>
      </c>
      <c r="AC21" t="s">
        <v>1843</v>
      </c>
      <c r="AD21" t="s">
        <v>1857</v>
      </c>
    </row>
    <row r="22" spans="1:30">
      <c r="A22" t="s">
        <v>420</v>
      </c>
      <c r="B22" t="s">
        <v>69</v>
      </c>
      <c r="C22" t="s">
        <v>70</v>
      </c>
      <c r="D22" t="s">
        <v>82</v>
      </c>
      <c r="E22">
        <v>2021</v>
      </c>
      <c r="F22">
        <v>8290229</v>
      </c>
      <c r="G22">
        <v>1.49E-2</v>
      </c>
      <c r="H22">
        <v>123524.41</v>
      </c>
      <c r="I22" t="s">
        <v>421</v>
      </c>
      <c r="J22" t="s">
        <v>422</v>
      </c>
      <c r="K22" t="s">
        <v>423</v>
      </c>
      <c r="L22">
        <v>10248232</v>
      </c>
      <c r="M22" s="8">
        <v>43572</v>
      </c>
      <c r="N22" t="s">
        <v>70</v>
      </c>
      <c r="O22">
        <v>1.49E-2</v>
      </c>
      <c r="P22">
        <v>2</v>
      </c>
      <c r="Q22" t="s">
        <v>1824</v>
      </c>
      <c r="R22" t="s">
        <v>1838</v>
      </c>
      <c r="S22" t="s">
        <v>1839</v>
      </c>
      <c r="T22" t="s">
        <v>1838</v>
      </c>
      <c r="U22" t="s">
        <v>1844</v>
      </c>
      <c r="V22" t="s">
        <v>1838</v>
      </c>
      <c r="W22" t="s">
        <v>1838</v>
      </c>
      <c r="X22" t="s">
        <v>1838</v>
      </c>
      <c r="Y22" t="s">
        <v>1841</v>
      </c>
      <c r="Z22">
        <v>4842179.1619999995</v>
      </c>
      <c r="AA22">
        <v>12553041.036323847</v>
      </c>
      <c r="AB22" t="s">
        <v>1850</v>
      </c>
      <c r="AC22" t="s">
        <v>1843</v>
      </c>
      <c r="AD22" t="s">
        <v>1854</v>
      </c>
    </row>
    <row r="23" spans="1:30">
      <c r="A23" t="s">
        <v>420</v>
      </c>
      <c r="B23" t="s">
        <v>101</v>
      </c>
      <c r="C23" t="s">
        <v>102</v>
      </c>
      <c r="D23" t="s">
        <v>97</v>
      </c>
      <c r="E23">
        <v>2022</v>
      </c>
      <c r="F23">
        <v>2376894</v>
      </c>
      <c r="G23">
        <v>2.0899999999999998E-2</v>
      </c>
      <c r="H23">
        <v>49677.08</v>
      </c>
      <c r="I23" t="s">
        <v>1765</v>
      </c>
      <c r="J23" t="s">
        <v>1766</v>
      </c>
      <c r="K23" t="s">
        <v>490</v>
      </c>
      <c r="L23">
        <v>2186068</v>
      </c>
      <c r="M23" s="8">
        <v>44922</v>
      </c>
      <c r="N23" t="s">
        <v>102</v>
      </c>
      <c r="O23">
        <v>2.0899999999999998E-2</v>
      </c>
      <c r="P23">
        <v>2</v>
      </c>
      <c r="Q23" t="s">
        <v>1821</v>
      </c>
      <c r="R23" t="s">
        <v>1838</v>
      </c>
      <c r="S23" t="s">
        <v>1839</v>
      </c>
      <c r="T23" t="s">
        <v>1838</v>
      </c>
      <c r="U23" t="s">
        <v>1844</v>
      </c>
      <c r="V23" t="s">
        <v>1838</v>
      </c>
      <c r="W23" t="s">
        <v>1838</v>
      </c>
      <c r="X23" t="s">
        <v>1838</v>
      </c>
      <c r="Y23" t="s">
        <v>1841</v>
      </c>
      <c r="Z23">
        <v>4842179.1619999995</v>
      </c>
      <c r="AA23">
        <v>12553041.036323847</v>
      </c>
      <c r="AB23" t="s">
        <v>1850</v>
      </c>
      <c r="AC23" t="s">
        <v>1843</v>
      </c>
      <c r="AD23" t="s">
        <v>1854</v>
      </c>
    </row>
    <row r="24" spans="1:30">
      <c r="A24" t="s">
        <v>424</v>
      </c>
      <c r="B24" t="s">
        <v>131</v>
      </c>
      <c r="C24" t="s">
        <v>132</v>
      </c>
      <c r="D24" t="s">
        <v>425</v>
      </c>
      <c r="E24">
        <v>2024</v>
      </c>
      <c r="F24">
        <v>3348517</v>
      </c>
      <c r="G24">
        <v>9.7999999999999997E-3</v>
      </c>
      <c r="H24">
        <v>32815.47</v>
      </c>
      <c r="I24" t="s">
        <v>426</v>
      </c>
      <c r="J24" t="s">
        <v>427</v>
      </c>
      <c r="K24" t="s">
        <v>428</v>
      </c>
      <c r="L24">
        <v>3963571</v>
      </c>
      <c r="M24" s="8">
        <v>44851</v>
      </c>
      <c r="N24" t="s">
        <v>132</v>
      </c>
      <c r="P24">
        <v>1</v>
      </c>
      <c r="R24" t="s">
        <v>1838</v>
      </c>
      <c r="S24" t="s">
        <v>1839</v>
      </c>
      <c r="T24" t="s">
        <v>1845</v>
      </c>
      <c r="U24" t="s">
        <v>1840</v>
      </c>
      <c r="V24" t="s">
        <v>1838</v>
      </c>
      <c r="W24" t="s">
        <v>1842</v>
      </c>
      <c r="X24" t="s">
        <v>1838</v>
      </c>
      <c r="Y24" t="s">
        <v>1841</v>
      </c>
      <c r="Z24">
        <v>4842179.1619999995</v>
      </c>
      <c r="AA24">
        <v>12553041.036323847</v>
      </c>
      <c r="AB24" t="s">
        <v>1850</v>
      </c>
      <c r="AC24" t="s">
        <v>1843</v>
      </c>
      <c r="AD24" t="s">
        <v>1858</v>
      </c>
    </row>
    <row r="25" spans="1:30">
      <c r="A25" t="s">
        <v>460</v>
      </c>
      <c r="B25" t="s">
        <v>150</v>
      </c>
      <c r="C25" t="s">
        <v>50</v>
      </c>
      <c r="D25" t="s">
        <v>71</v>
      </c>
      <c r="E25">
        <v>2023</v>
      </c>
      <c r="F25">
        <v>7041987</v>
      </c>
      <c r="G25">
        <v>1.83E-2</v>
      </c>
      <c r="H25">
        <v>128868.36</v>
      </c>
      <c r="I25" t="s">
        <v>461</v>
      </c>
      <c r="J25" t="s">
        <v>462</v>
      </c>
      <c r="K25" t="s">
        <v>463</v>
      </c>
      <c r="L25">
        <v>7146124</v>
      </c>
      <c r="M25" s="8">
        <v>45086</v>
      </c>
      <c r="N25" t="s">
        <v>151</v>
      </c>
      <c r="O25">
        <v>1.83E-2</v>
      </c>
      <c r="P25">
        <v>1</v>
      </c>
      <c r="Q25" t="s">
        <v>1822</v>
      </c>
      <c r="R25" t="s">
        <v>1838</v>
      </c>
      <c r="S25" t="s">
        <v>1845</v>
      </c>
      <c r="T25" t="s">
        <v>1838</v>
      </c>
      <c r="U25" t="s">
        <v>1840</v>
      </c>
      <c r="V25" t="s">
        <v>1838</v>
      </c>
      <c r="W25" t="s">
        <v>1838</v>
      </c>
      <c r="X25" t="s">
        <v>1838</v>
      </c>
      <c r="Y25" t="s">
        <v>1841</v>
      </c>
      <c r="Z25">
        <v>4842179.1619999995</v>
      </c>
      <c r="AA25">
        <v>12553041.036323847</v>
      </c>
      <c r="AB25" t="s">
        <v>1850</v>
      </c>
      <c r="AC25" t="s">
        <v>1843</v>
      </c>
      <c r="AD25" t="s">
        <v>1856</v>
      </c>
    </row>
    <row r="26" spans="1:30">
      <c r="A26" t="s">
        <v>483</v>
      </c>
      <c r="B26" t="s">
        <v>137</v>
      </c>
      <c r="C26" t="s">
        <v>64</v>
      </c>
      <c r="D26" t="s">
        <v>58</v>
      </c>
      <c r="E26">
        <v>2022</v>
      </c>
      <c r="F26">
        <v>1001845</v>
      </c>
      <c r="G26">
        <v>9.7000000000000003E-3</v>
      </c>
      <c r="H26">
        <v>9717.9</v>
      </c>
      <c r="I26" t="s">
        <v>484</v>
      </c>
      <c r="J26" t="s">
        <v>485</v>
      </c>
      <c r="K26" t="s">
        <v>486</v>
      </c>
      <c r="L26">
        <v>1153199</v>
      </c>
      <c r="M26" s="8">
        <v>43877</v>
      </c>
      <c r="N26" t="s">
        <v>138</v>
      </c>
      <c r="O26">
        <v>9.7000000000000003E-3</v>
      </c>
      <c r="P26">
        <v>1</v>
      </c>
      <c r="Q26" t="s">
        <v>1823</v>
      </c>
      <c r="R26" t="s">
        <v>1838</v>
      </c>
      <c r="S26" t="s">
        <v>1845</v>
      </c>
      <c r="T26" t="s">
        <v>1838</v>
      </c>
      <c r="U26" t="s">
        <v>1840</v>
      </c>
      <c r="V26" t="s">
        <v>1838</v>
      </c>
      <c r="W26" t="s">
        <v>1838</v>
      </c>
      <c r="X26" t="s">
        <v>1838</v>
      </c>
      <c r="Y26" t="s">
        <v>1841</v>
      </c>
      <c r="Z26">
        <v>4842179.1619999995</v>
      </c>
      <c r="AA26">
        <v>12553041.036323847</v>
      </c>
      <c r="AB26" t="s">
        <v>1850</v>
      </c>
      <c r="AC26" t="s">
        <v>1843</v>
      </c>
      <c r="AD26" t="s">
        <v>1856</v>
      </c>
    </row>
    <row r="27" spans="1:30">
      <c r="A27" t="s">
        <v>497</v>
      </c>
      <c r="B27" t="s">
        <v>150</v>
      </c>
      <c r="C27" t="s">
        <v>151</v>
      </c>
      <c r="D27" t="s">
        <v>97</v>
      </c>
      <c r="E27">
        <v>2021</v>
      </c>
      <c r="F27">
        <v>1830308</v>
      </c>
      <c r="G27">
        <v>2.0299999999999999E-2</v>
      </c>
      <c r="H27">
        <v>37305.25</v>
      </c>
      <c r="I27" t="s">
        <v>498</v>
      </c>
      <c r="J27" t="s">
        <v>499</v>
      </c>
      <c r="K27" t="s">
        <v>500</v>
      </c>
      <c r="L27">
        <v>2086781</v>
      </c>
      <c r="M27" s="8">
        <v>44739</v>
      </c>
      <c r="N27" t="s">
        <v>151</v>
      </c>
      <c r="O27">
        <v>2.0299999999999999E-2</v>
      </c>
      <c r="P27">
        <v>1</v>
      </c>
      <c r="Q27" t="s">
        <v>1821</v>
      </c>
      <c r="R27" t="s">
        <v>1838</v>
      </c>
      <c r="S27" t="s">
        <v>1839</v>
      </c>
      <c r="T27" t="s">
        <v>1845</v>
      </c>
      <c r="U27" t="s">
        <v>1840</v>
      </c>
      <c r="V27" t="s">
        <v>1838</v>
      </c>
      <c r="W27" t="s">
        <v>1838</v>
      </c>
      <c r="X27" t="s">
        <v>1838</v>
      </c>
      <c r="Y27" t="s">
        <v>1841</v>
      </c>
      <c r="Z27">
        <v>4842179.1619999995</v>
      </c>
      <c r="AA27">
        <v>12553041.036323847</v>
      </c>
      <c r="AB27" t="s">
        <v>1850</v>
      </c>
      <c r="AC27" t="s">
        <v>1843</v>
      </c>
      <c r="AD27" t="s">
        <v>1857</v>
      </c>
    </row>
    <row r="28" spans="1:30">
      <c r="A28" t="s">
        <v>501</v>
      </c>
      <c r="B28" t="s">
        <v>49</v>
      </c>
      <c r="C28" t="s">
        <v>84</v>
      </c>
      <c r="D28" t="s">
        <v>71</v>
      </c>
      <c r="E28">
        <v>2023</v>
      </c>
      <c r="F28">
        <v>5782221</v>
      </c>
      <c r="G28">
        <v>1.8100000000000002E-2</v>
      </c>
      <c r="H28">
        <v>104658.2</v>
      </c>
      <c r="I28" t="s">
        <v>502</v>
      </c>
      <c r="J28" t="s">
        <v>503</v>
      </c>
      <c r="K28" t="s">
        <v>504</v>
      </c>
      <c r="L28">
        <v>6108117</v>
      </c>
      <c r="M28" s="8">
        <v>45272</v>
      </c>
      <c r="N28" t="s">
        <v>50</v>
      </c>
      <c r="O28">
        <v>1.8100000000000002E-2</v>
      </c>
      <c r="P28">
        <v>1</v>
      </c>
      <c r="Q28" t="s">
        <v>1822</v>
      </c>
      <c r="R28" t="s">
        <v>1838</v>
      </c>
      <c r="S28" t="s">
        <v>1845</v>
      </c>
      <c r="T28" t="s">
        <v>1838</v>
      </c>
      <c r="U28" t="s">
        <v>1840</v>
      </c>
      <c r="V28" t="s">
        <v>1838</v>
      </c>
      <c r="W28" t="s">
        <v>1838</v>
      </c>
      <c r="X28" t="s">
        <v>1838</v>
      </c>
      <c r="Y28" t="s">
        <v>1841</v>
      </c>
      <c r="Z28">
        <v>4842179.1619999995</v>
      </c>
      <c r="AA28">
        <v>12553041.036323847</v>
      </c>
      <c r="AB28" t="s">
        <v>1850</v>
      </c>
      <c r="AC28" t="s">
        <v>1843</v>
      </c>
      <c r="AD28" t="s">
        <v>1856</v>
      </c>
    </row>
    <row r="29" spans="1:30">
      <c r="A29" t="s">
        <v>513</v>
      </c>
      <c r="B29" t="s">
        <v>56</v>
      </c>
      <c r="C29" t="s">
        <v>84</v>
      </c>
      <c r="D29" t="s">
        <v>51</v>
      </c>
      <c r="E29">
        <v>2021</v>
      </c>
      <c r="F29">
        <v>1378636</v>
      </c>
      <c r="G29">
        <v>1.24E-2</v>
      </c>
      <c r="H29">
        <v>17095.09</v>
      </c>
      <c r="I29" t="s">
        <v>514</v>
      </c>
      <c r="J29" t="s">
        <v>515</v>
      </c>
      <c r="K29" t="s">
        <v>162</v>
      </c>
      <c r="L29">
        <v>1556117</v>
      </c>
      <c r="M29" s="8">
        <v>44890</v>
      </c>
      <c r="N29" t="s">
        <v>57</v>
      </c>
      <c r="O29">
        <v>1.24E-2</v>
      </c>
      <c r="P29">
        <v>1</v>
      </c>
      <c r="Q29" t="s">
        <v>1820</v>
      </c>
      <c r="R29" t="s">
        <v>1838</v>
      </c>
      <c r="S29" t="s">
        <v>1845</v>
      </c>
      <c r="T29" t="s">
        <v>1838</v>
      </c>
      <c r="U29" t="s">
        <v>1840</v>
      </c>
      <c r="V29" t="s">
        <v>1838</v>
      </c>
      <c r="W29" t="s">
        <v>1838</v>
      </c>
      <c r="X29" t="s">
        <v>1838</v>
      </c>
      <c r="Y29" t="s">
        <v>1841</v>
      </c>
      <c r="Z29">
        <v>4842179.1619999995</v>
      </c>
      <c r="AA29">
        <v>12553041.036323847</v>
      </c>
      <c r="AB29" t="s">
        <v>1850</v>
      </c>
      <c r="AC29" t="s">
        <v>1843</v>
      </c>
      <c r="AD29" t="s">
        <v>1856</v>
      </c>
    </row>
    <row r="30" spans="1:30">
      <c r="A30" t="s">
        <v>530</v>
      </c>
      <c r="B30" t="s">
        <v>101</v>
      </c>
      <c r="C30" t="s">
        <v>102</v>
      </c>
      <c r="D30" t="s">
        <v>51</v>
      </c>
      <c r="E30">
        <v>2024</v>
      </c>
      <c r="F30">
        <v>1314994</v>
      </c>
      <c r="G30">
        <v>1.29E-2</v>
      </c>
      <c r="H30">
        <v>16963.419999999998</v>
      </c>
      <c r="I30" t="s">
        <v>531</v>
      </c>
      <c r="J30" t="s">
        <v>532</v>
      </c>
      <c r="K30" t="s">
        <v>533</v>
      </c>
      <c r="L30">
        <v>1461931</v>
      </c>
      <c r="M30" s="8">
        <v>44277</v>
      </c>
      <c r="N30" t="s">
        <v>102</v>
      </c>
      <c r="O30">
        <v>1.29E-2</v>
      </c>
      <c r="P30">
        <v>2</v>
      </c>
      <c r="Q30" t="s">
        <v>1820</v>
      </c>
      <c r="R30" t="s">
        <v>1838</v>
      </c>
      <c r="S30" t="s">
        <v>1839</v>
      </c>
      <c r="T30" t="s">
        <v>1838</v>
      </c>
      <c r="U30" t="s">
        <v>1844</v>
      </c>
      <c r="V30" t="s">
        <v>1838</v>
      </c>
      <c r="W30" t="s">
        <v>1838</v>
      </c>
      <c r="X30" t="s">
        <v>1838</v>
      </c>
      <c r="Y30" t="s">
        <v>1841</v>
      </c>
      <c r="Z30">
        <v>4842179.1619999995</v>
      </c>
      <c r="AA30">
        <v>12553041.036323847</v>
      </c>
      <c r="AB30" t="s">
        <v>1850</v>
      </c>
      <c r="AC30" t="s">
        <v>1843</v>
      </c>
      <c r="AD30" t="s">
        <v>1854</v>
      </c>
    </row>
    <row r="31" spans="1:30">
      <c r="A31" t="s">
        <v>530</v>
      </c>
      <c r="B31" t="s">
        <v>69</v>
      </c>
      <c r="C31" t="s">
        <v>70</v>
      </c>
      <c r="D31" t="s">
        <v>71</v>
      </c>
      <c r="E31">
        <v>2022</v>
      </c>
      <c r="F31">
        <v>7484660</v>
      </c>
      <c r="G31">
        <v>1.8599999999999998E-2</v>
      </c>
      <c r="H31">
        <v>139214.68</v>
      </c>
      <c r="I31" t="s">
        <v>1017</v>
      </c>
      <c r="J31" t="s">
        <v>1018</v>
      </c>
      <c r="K31" t="s">
        <v>1019</v>
      </c>
      <c r="L31">
        <v>8374310</v>
      </c>
      <c r="M31" s="8">
        <v>45582</v>
      </c>
      <c r="N31" t="s">
        <v>70</v>
      </c>
      <c r="O31">
        <v>1.8599999999999998E-2</v>
      </c>
      <c r="P31">
        <v>2</v>
      </c>
      <c r="Q31" t="s">
        <v>1822</v>
      </c>
      <c r="R31" t="s">
        <v>1838</v>
      </c>
      <c r="S31" t="s">
        <v>1839</v>
      </c>
      <c r="T31" t="s">
        <v>1838</v>
      </c>
      <c r="U31" t="s">
        <v>1844</v>
      </c>
      <c r="V31" t="s">
        <v>1838</v>
      </c>
      <c r="W31" t="s">
        <v>1838</v>
      </c>
      <c r="X31" t="s">
        <v>1838</v>
      </c>
      <c r="Y31" t="s">
        <v>1841</v>
      </c>
      <c r="Z31">
        <v>4842179.1619999995</v>
      </c>
      <c r="AA31">
        <v>12553041.036323847</v>
      </c>
      <c r="AB31" t="s">
        <v>1850</v>
      </c>
      <c r="AC31" t="s">
        <v>1843</v>
      </c>
      <c r="AD31" t="s">
        <v>1854</v>
      </c>
    </row>
    <row r="32" spans="1:30">
      <c r="A32" t="s">
        <v>534</v>
      </c>
      <c r="B32" t="s">
        <v>49</v>
      </c>
      <c r="C32" t="s">
        <v>50</v>
      </c>
      <c r="D32" t="s">
        <v>535</v>
      </c>
      <c r="E32">
        <v>2022</v>
      </c>
      <c r="F32">
        <v>2500765</v>
      </c>
      <c r="G32">
        <v>2.01E-2</v>
      </c>
      <c r="H32">
        <v>50265.38</v>
      </c>
      <c r="I32" t="s">
        <v>536</v>
      </c>
      <c r="J32" t="s">
        <v>537</v>
      </c>
      <c r="K32" t="s">
        <v>412</v>
      </c>
      <c r="L32">
        <v>2929471</v>
      </c>
      <c r="M32" s="8">
        <v>45025</v>
      </c>
      <c r="N32" t="s">
        <v>50</v>
      </c>
      <c r="P32">
        <v>1</v>
      </c>
      <c r="R32" t="s">
        <v>1838</v>
      </c>
      <c r="S32" t="s">
        <v>1839</v>
      </c>
      <c r="T32" t="s">
        <v>1845</v>
      </c>
      <c r="U32" t="s">
        <v>1840</v>
      </c>
      <c r="V32" t="s">
        <v>1838</v>
      </c>
      <c r="W32" t="s">
        <v>1842</v>
      </c>
      <c r="X32" t="s">
        <v>1838</v>
      </c>
      <c r="Y32" t="s">
        <v>1841</v>
      </c>
      <c r="Z32">
        <v>4842179.1619999995</v>
      </c>
      <c r="AA32">
        <v>12553041.036323847</v>
      </c>
      <c r="AB32" t="s">
        <v>1850</v>
      </c>
      <c r="AC32" t="s">
        <v>1843</v>
      </c>
      <c r="AD32" t="s">
        <v>1858</v>
      </c>
    </row>
    <row r="33" spans="1:30">
      <c r="A33" t="s">
        <v>541</v>
      </c>
      <c r="B33" t="s">
        <v>56</v>
      </c>
      <c r="C33" t="s">
        <v>57</v>
      </c>
      <c r="D33" t="s">
        <v>82</v>
      </c>
      <c r="E33">
        <v>2024</v>
      </c>
      <c r="F33">
        <v>85874072</v>
      </c>
      <c r="G33">
        <v>1.47E-2</v>
      </c>
      <c r="H33">
        <v>1262348.8600000001</v>
      </c>
      <c r="I33" t="s">
        <v>542</v>
      </c>
      <c r="J33" t="s">
        <v>543</v>
      </c>
      <c r="K33" t="s">
        <v>80</v>
      </c>
      <c r="L33">
        <v>5336452</v>
      </c>
      <c r="M33" s="8">
        <v>45697</v>
      </c>
      <c r="N33" t="s">
        <v>57</v>
      </c>
      <c r="O33">
        <v>1.47E-2</v>
      </c>
      <c r="P33">
        <v>1</v>
      </c>
      <c r="Q33" t="s">
        <v>1824</v>
      </c>
      <c r="R33" t="s">
        <v>1838</v>
      </c>
      <c r="S33" t="s">
        <v>1839</v>
      </c>
      <c r="T33" t="s">
        <v>1838</v>
      </c>
      <c r="U33" t="s">
        <v>1840</v>
      </c>
      <c r="V33" t="s">
        <v>1838</v>
      </c>
      <c r="W33" t="s">
        <v>1838</v>
      </c>
      <c r="X33" t="s">
        <v>1838</v>
      </c>
      <c r="Y33" t="s">
        <v>1841</v>
      </c>
      <c r="Z33">
        <v>4842179.1619999995</v>
      </c>
      <c r="AA33">
        <v>12553041.036323847</v>
      </c>
      <c r="AB33" t="s">
        <v>1851</v>
      </c>
      <c r="AC33" t="s">
        <v>1843</v>
      </c>
      <c r="AD33" t="s">
        <v>1859</v>
      </c>
    </row>
    <row r="34" spans="1:30">
      <c r="A34" t="s">
        <v>544</v>
      </c>
      <c r="B34" t="s">
        <v>150</v>
      </c>
      <c r="C34" t="s">
        <v>151</v>
      </c>
      <c r="D34" t="s">
        <v>97</v>
      </c>
      <c r="E34">
        <v>2022</v>
      </c>
      <c r="F34">
        <v>3435195</v>
      </c>
      <c r="G34">
        <v>2.0299999999999999E-2</v>
      </c>
      <c r="H34">
        <v>69734.460000000006</v>
      </c>
      <c r="I34" t="s">
        <v>545</v>
      </c>
      <c r="J34" t="s">
        <v>546</v>
      </c>
      <c r="K34" t="s">
        <v>547</v>
      </c>
      <c r="L34">
        <v>3941918</v>
      </c>
      <c r="M34" s="8">
        <v>43503</v>
      </c>
      <c r="N34" t="s">
        <v>151</v>
      </c>
      <c r="O34">
        <v>2.0299999999999999E-2</v>
      </c>
      <c r="P34">
        <v>2</v>
      </c>
      <c r="Q34" t="s">
        <v>1821</v>
      </c>
      <c r="R34" t="s">
        <v>1838</v>
      </c>
      <c r="S34" t="s">
        <v>1839</v>
      </c>
      <c r="T34" t="s">
        <v>1838</v>
      </c>
      <c r="U34" t="s">
        <v>1844</v>
      </c>
      <c r="V34" t="s">
        <v>1838</v>
      </c>
      <c r="W34" t="s">
        <v>1838</v>
      </c>
      <c r="X34" t="s">
        <v>1838</v>
      </c>
      <c r="Y34" t="s">
        <v>1841</v>
      </c>
      <c r="Z34">
        <v>4842179.1619999995</v>
      </c>
      <c r="AA34">
        <v>12553041.036323847</v>
      </c>
      <c r="AB34" t="s">
        <v>1850</v>
      </c>
      <c r="AC34" t="s">
        <v>1843</v>
      </c>
      <c r="AD34" t="s">
        <v>1854</v>
      </c>
    </row>
    <row r="35" spans="1:30">
      <c r="A35" t="s">
        <v>544</v>
      </c>
      <c r="B35" t="s">
        <v>76</v>
      </c>
      <c r="C35" t="s">
        <v>77</v>
      </c>
      <c r="D35" t="s">
        <v>58</v>
      </c>
      <c r="E35">
        <v>2023</v>
      </c>
      <c r="F35">
        <v>2275024</v>
      </c>
      <c r="G35">
        <v>9.4000000000000004E-3</v>
      </c>
      <c r="H35">
        <v>21385.23</v>
      </c>
      <c r="I35" t="s">
        <v>781</v>
      </c>
      <c r="J35" t="s">
        <v>782</v>
      </c>
      <c r="K35" t="s">
        <v>783</v>
      </c>
      <c r="L35">
        <v>2306415</v>
      </c>
      <c r="M35" s="8">
        <v>44398</v>
      </c>
      <c r="N35" t="s">
        <v>77</v>
      </c>
      <c r="O35">
        <v>9.4000000000000004E-3</v>
      </c>
      <c r="P35">
        <v>2</v>
      </c>
      <c r="Q35" t="s">
        <v>1823</v>
      </c>
      <c r="R35" t="s">
        <v>1838</v>
      </c>
      <c r="S35" t="s">
        <v>1839</v>
      </c>
      <c r="T35" t="s">
        <v>1838</v>
      </c>
      <c r="U35" t="s">
        <v>1844</v>
      </c>
      <c r="V35" t="s">
        <v>1838</v>
      </c>
      <c r="W35" t="s">
        <v>1838</v>
      </c>
      <c r="X35" t="s">
        <v>1838</v>
      </c>
      <c r="Y35" t="s">
        <v>1841</v>
      </c>
      <c r="Z35">
        <v>4842179.1619999995</v>
      </c>
      <c r="AA35">
        <v>12553041.036323847</v>
      </c>
      <c r="AB35" t="s">
        <v>1850</v>
      </c>
      <c r="AC35" t="s">
        <v>1843</v>
      </c>
      <c r="AD35" t="s">
        <v>1854</v>
      </c>
    </row>
    <row r="36" spans="1:30">
      <c r="A36" t="s">
        <v>548</v>
      </c>
      <c r="B36" t="s">
        <v>76</v>
      </c>
      <c r="C36" t="s">
        <v>77</v>
      </c>
      <c r="D36" t="s">
        <v>82</v>
      </c>
      <c r="E36">
        <v>2024</v>
      </c>
      <c r="F36">
        <v>5767173</v>
      </c>
      <c r="G36">
        <v>1.47E-2</v>
      </c>
      <c r="H36">
        <v>84777.44</v>
      </c>
      <c r="I36" t="s">
        <v>549</v>
      </c>
      <c r="J36" t="s">
        <v>550</v>
      </c>
      <c r="K36" t="s">
        <v>91</v>
      </c>
      <c r="L36">
        <v>7163508</v>
      </c>
      <c r="M36" s="8">
        <v>44232</v>
      </c>
      <c r="N36" t="s">
        <v>77</v>
      </c>
      <c r="O36">
        <v>1.47E-2</v>
      </c>
      <c r="P36">
        <v>1</v>
      </c>
      <c r="Q36" t="s">
        <v>1824</v>
      </c>
      <c r="R36" t="s">
        <v>1838</v>
      </c>
      <c r="S36" t="s">
        <v>1839</v>
      </c>
      <c r="T36" t="s">
        <v>1838</v>
      </c>
      <c r="U36" t="s">
        <v>1840</v>
      </c>
      <c r="V36" t="s">
        <v>1842</v>
      </c>
      <c r="W36" t="s">
        <v>1838</v>
      </c>
      <c r="X36" t="s">
        <v>1838</v>
      </c>
      <c r="Y36" t="s">
        <v>1841</v>
      </c>
      <c r="Z36">
        <v>4842179.1619999995</v>
      </c>
      <c r="AA36">
        <v>12553041.036323847</v>
      </c>
      <c r="AB36" t="s">
        <v>1850</v>
      </c>
      <c r="AC36" t="s">
        <v>1843</v>
      </c>
      <c r="AD36" t="s">
        <v>1853</v>
      </c>
    </row>
    <row r="37" spans="1:30">
      <c r="A37" t="s">
        <v>576</v>
      </c>
      <c r="B37" t="s">
        <v>101</v>
      </c>
      <c r="C37" t="s">
        <v>102</v>
      </c>
      <c r="D37" t="s">
        <v>577</v>
      </c>
      <c r="E37">
        <v>2021</v>
      </c>
      <c r="F37">
        <v>1544948</v>
      </c>
      <c r="G37">
        <v>2.0899999999999998E-2</v>
      </c>
      <c r="H37">
        <v>32289.41</v>
      </c>
      <c r="I37" t="s">
        <v>578</v>
      </c>
      <c r="J37" t="s">
        <v>579</v>
      </c>
      <c r="K37" t="s">
        <v>580</v>
      </c>
      <c r="L37">
        <v>1903512</v>
      </c>
      <c r="M37" s="8">
        <v>44826</v>
      </c>
      <c r="N37" t="s">
        <v>102</v>
      </c>
      <c r="P37">
        <v>1</v>
      </c>
      <c r="R37" t="s">
        <v>1838</v>
      </c>
      <c r="S37" t="s">
        <v>1839</v>
      </c>
      <c r="T37" t="s">
        <v>1845</v>
      </c>
      <c r="U37" t="s">
        <v>1840</v>
      </c>
      <c r="V37" t="s">
        <v>1838</v>
      </c>
      <c r="W37" t="s">
        <v>1842</v>
      </c>
      <c r="X37" t="s">
        <v>1838</v>
      </c>
      <c r="Y37" t="s">
        <v>1841</v>
      </c>
      <c r="Z37">
        <v>4842179.1619999995</v>
      </c>
      <c r="AA37">
        <v>12553041.036323847</v>
      </c>
      <c r="AB37" t="s">
        <v>1850</v>
      </c>
      <c r="AC37" t="s">
        <v>1843</v>
      </c>
      <c r="AD37" t="s">
        <v>1858</v>
      </c>
    </row>
    <row r="38" spans="1:30">
      <c r="A38" t="s">
        <v>581</v>
      </c>
      <c r="B38" t="s">
        <v>87</v>
      </c>
      <c r="C38" t="s">
        <v>88</v>
      </c>
      <c r="D38" t="s">
        <v>58</v>
      </c>
      <c r="E38">
        <v>2023</v>
      </c>
      <c r="F38">
        <v>1570027</v>
      </c>
      <c r="G38">
        <v>9.4999999999999998E-3</v>
      </c>
      <c r="H38">
        <v>14915.26</v>
      </c>
      <c r="I38" t="s">
        <v>582</v>
      </c>
      <c r="J38" t="s">
        <v>583</v>
      </c>
      <c r="K38" t="s">
        <v>584</v>
      </c>
      <c r="L38">
        <v>1842727</v>
      </c>
      <c r="M38" s="8">
        <v>44498</v>
      </c>
      <c r="N38" t="s">
        <v>88</v>
      </c>
      <c r="O38">
        <v>9.4999999999999998E-3</v>
      </c>
      <c r="P38">
        <v>1</v>
      </c>
      <c r="Q38" t="s">
        <v>1823</v>
      </c>
      <c r="R38" t="s">
        <v>1838</v>
      </c>
      <c r="S38" t="s">
        <v>1839</v>
      </c>
      <c r="T38" t="s">
        <v>1838</v>
      </c>
      <c r="U38" t="s">
        <v>1840</v>
      </c>
      <c r="V38" t="s">
        <v>1842</v>
      </c>
      <c r="W38" t="s">
        <v>1838</v>
      </c>
      <c r="X38" t="s">
        <v>1838</v>
      </c>
      <c r="Y38" t="s">
        <v>1841</v>
      </c>
      <c r="Z38">
        <v>4842179.1619999995</v>
      </c>
      <c r="AA38">
        <v>12553041.036323847</v>
      </c>
      <c r="AB38" t="s">
        <v>1850</v>
      </c>
      <c r="AC38" t="s">
        <v>1843</v>
      </c>
      <c r="AD38" t="s">
        <v>1853</v>
      </c>
    </row>
    <row r="39" spans="1:30">
      <c r="A39" t="s">
        <v>589</v>
      </c>
      <c r="B39" t="s">
        <v>131</v>
      </c>
      <c r="C39" t="s">
        <v>138</v>
      </c>
      <c r="D39" t="s">
        <v>58</v>
      </c>
      <c r="E39">
        <v>2024</v>
      </c>
      <c r="F39">
        <v>676022</v>
      </c>
      <c r="G39">
        <v>9.7999999999999997E-3</v>
      </c>
      <c r="H39">
        <v>6625.02</v>
      </c>
      <c r="I39" t="s">
        <v>590</v>
      </c>
      <c r="J39" t="s">
        <v>591</v>
      </c>
      <c r="K39" t="s">
        <v>95</v>
      </c>
      <c r="L39">
        <v>790360</v>
      </c>
      <c r="M39" s="8">
        <v>45543</v>
      </c>
      <c r="N39" t="s">
        <v>132</v>
      </c>
      <c r="O39">
        <v>9.7999999999999997E-3</v>
      </c>
      <c r="P39">
        <v>1</v>
      </c>
      <c r="Q39" t="s">
        <v>1823</v>
      </c>
      <c r="R39" t="s">
        <v>1838</v>
      </c>
      <c r="S39" t="s">
        <v>1845</v>
      </c>
      <c r="T39" t="s">
        <v>1838</v>
      </c>
      <c r="U39" t="s">
        <v>1840</v>
      </c>
      <c r="V39" t="s">
        <v>1838</v>
      </c>
      <c r="W39" t="s">
        <v>1838</v>
      </c>
      <c r="X39" t="s">
        <v>1838</v>
      </c>
      <c r="Y39" t="s">
        <v>1841</v>
      </c>
      <c r="Z39">
        <v>4842179.1619999995</v>
      </c>
      <c r="AA39">
        <v>12553041.036323847</v>
      </c>
      <c r="AB39" t="s">
        <v>1850</v>
      </c>
      <c r="AC39" t="s">
        <v>1843</v>
      </c>
      <c r="AD39" t="s">
        <v>1856</v>
      </c>
    </row>
    <row r="40" spans="1:30">
      <c r="A40" t="s">
        <v>599</v>
      </c>
      <c r="B40" t="s">
        <v>76</v>
      </c>
      <c r="C40" t="s">
        <v>77</v>
      </c>
      <c r="D40" t="s">
        <v>82</v>
      </c>
      <c r="E40">
        <v>2024</v>
      </c>
      <c r="F40">
        <v>5526557</v>
      </c>
      <c r="G40">
        <v>1.47E-2</v>
      </c>
      <c r="H40">
        <v>81240.39</v>
      </c>
      <c r="I40" t="s">
        <v>600</v>
      </c>
      <c r="J40" t="s">
        <v>583</v>
      </c>
      <c r="K40" t="s">
        <v>162</v>
      </c>
      <c r="L40">
        <v>5614133</v>
      </c>
      <c r="M40" s="8">
        <v>45070</v>
      </c>
      <c r="N40" t="s">
        <v>77</v>
      </c>
      <c r="O40">
        <v>1.47E-2</v>
      </c>
      <c r="P40">
        <v>1</v>
      </c>
      <c r="Q40" t="s">
        <v>1824</v>
      </c>
      <c r="R40" t="s">
        <v>1838</v>
      </c>
      <c r="S40" t="s">
        <v>1839</v>
      </c>
      <c r="T40" t="s">
        <v>1838</v>
      </c>
      <c r="U40" t="s">
        <v>1840</v>
      </c>
      <c r="V40" t="s">
        <v>1842</v>
      </c>
      <c r="W40" t="s">
        <v>1838</v>
      </c>
      <c r="X40" t="s">
        <v>1838</v>
      </c>
      <c r="Y40" t="s">
        <v>1841</v>
      </c>
      <c r="Z40">
        <v>4842179.1619999995</v>
      </c>
      <c r="AA40">
        <v>12553041.036323847</v>
      </c>
      <c r="AB40" t="s">
        <v>1850</v>
      </c>
      <c r="AC40" t="s">
        <v>1843</v>
      </c>
      <c r="AD40" t="s">
        <v>1853</v>
      </c>
    </row>
    <row r="41" spans="1:30">
      <c r="A41" t="s">
        <v>601</v>
      </c>
      <c r="B41" t="s">
        <v>602</v>
      </c>
      <c r="C41" t="s">
        <v>50</v>
      </c>
      <c r="D41" t="s">
        <v>97</v>
      </c>
      <c r="E41">
        <v>2024</v>
      </c>
      <c r="F41">
        <v>3049062</v>
      </c>
      <c r="G41">
        <v>2.0899999999999998E-2</v>
      </c>
      <c r="H41">
        <v>63725.4</v>
      </c>
      <c r="I41" t="s">
        <v>603</v>
      </c>
      <c r="J41" t="s">
        <v>604</v>
      </c>
      <c r="K41" t="s">
        <v>240</v>
      </c>
      <c r="L41">
        <v>2852743</v>
      </c>
      <c r="M41" s="8">
        <v>45296</v>
      </c>
      <c r="P41">
        <v>1</v>
      </c>
      <c r="Q41" t="s">
        <v>1821</v>
      </c>
      <c r="R41" t="s">
        <v>1842</v>
      </c>
      <c r="S41" t="s">
        <v>1845</v>
      </c>
      <c r="T41" t="s">
        <v>1845</v>
      </c>
      <c r="U41" t="s">
        <v>1840</v>
      </c>
      <c r="V41" t="s">
        <v>1838</v>
      </c>
      <c r="W41" t="s">
        <v>1838</v>
      </c>
      <c r="X41" t="s">
        <v>1838</v>
      </c>
      <c r="Y41" t="s">
        <v>1841</v>
      </c>
      <c r="Z41">
        <v>4842179.1619999995</v>
      </c>
      <c r="AA41">
        <v>12553041.036323847</v>
      </c>
      <c r="AB41" t="s">
        <v>1850</v>
      </c>
      <c r="AC41" t="s">
        <v>1843</v>
      </c>
      <c r="AD41" t="s">
        <v>1860</v>
      </c>
    </row>
    <row r="42" spans="1:30">
      <c r="A42" t="s">
        <v>612</v>
      </c>
      <c r="B42" t="s">
        <v>613</v>
      </c>
      <c r="C42" t="s">
        <v>64</v>
      </c>
      <c r="D42" t="s">
        <v>97</v>
      </c>
      <c r="E42">
        <v>2024</v>
      </c>
      <c r="F42">
        <v>1910183</v>
      </c>
      <c r="G42">
        <v>2.0400000000000001E-2</v>
      </c>
      <c r="H42">
        <v>38967.730000000003</v>
      </c>
      <c r="I42" t="s">
        <v>614</v>
      </c>
      <c r="J42" t="s">
        <v>615</v>
      </c>
      <c r="K42" t="s">
        <v>616</v>
      </c>
      <c r="L42">
        <v>2047915</v>
      </c>
      <c r="M42" s="8">
        <v>45651</v>
      </c>
      <c r="P42">
        <v>1</v>
      </c>
      <c r="Q42" t="s">
        <v>1821</v>
      </c>
      <c r="R42" t="s">
        <v>1842</v>
      </c>
      <c r="S42" t="s">
        <v>1845</v>
      </c>
      <c r="T42" t="s">
        <v>1845</v>
      </c>
      <c r="U42" t="s">
        <v>1840</v>
      </c>
      <c r="V42" t="s">
        <v>1838</v>
      </c>
      <c r="W42" t="s">
        <v>1838</v>
      </c>
      <c r="X42" t="s">
        <v>1838</v>
      </c>
      <c r="Y42" t="s">
        <v>1841</v>
      </c>
      <c r="Z42">
        <v>4842179.1619999995</v>
      </c>
      <c r="AA42">
        <v>12553041.036323847</v>
      </c>
      <c r="AB42" t="s">
        <v>1850</v>
      </c>
      <c r="AC42" t="s">
        <v>1843</v>
      </c>
      <c r="AD42" t="s">
        <v>1860</v>
      </c>
    </row>
    <row r="43" spans="1:30">
      <c r="A43" t="s">
        <v>632</v>
      </c>
      <c r="B43" t="s">
        <v>69</v>
      </c>
      <c r="C43" t="s">
        <v>70</v>
      </c>
      <c r="D43" t="s">
        <v>82</v>
      </c>
      <c r="E43">
        <v>2023</v>
      </c>
      <c r="F43">
        <v>9462643</v>
      </c>
      <c r="G43">
        <v>1.49E-2</v>
      </c>
      <c r="H43">
        <v>140993.38</v>
      </c>
      <c r="I43" t="s">
        <v>633</v>
      </c>
      <c r="J43" t="s">
        <v>634</v>
      </c>
      <c r="K43" t="s">
        <v>635</v>
      </c>
      <c r="L43">
        <v>9218015</v>
      </c>
      <c r="M43" s="8">
        <v>44380</v>
      </c>
      <c r="N43" t="s">
        <v>70</v>
      </c>
      <c r="O43">
        <v>1.49E-2</v>
      </c>
      <c r="P43">
        <v>2</v>
      </c>
      <c r="Q43" t="s">
        <v>1824</v>
      </c>
      <c r="R43" t="s">
        <v>1838</v>
      </c>
      <c r="S43" t="s">
        <v>1839</v>
      </c>
      <c r="T43" t="s">
        <v>1838</v>
      </c>
      <c r="U43" t="s">
        <v>1844</v>
      </c>
      <c r="V43" t="s">
        <v>1838</v>
      </c>
      <c r="W43" t="s">
        <v>1838</v>
      </c>
      <c r="X43" t="s">
        <v>1838</v>
      </c>
      <c r="Y43" t="s">
        <v>1841</v>
      </c>
      <c r="Z43">
        <v>4842179.1619999995</v>
      </c>
      <c r="AA43">
        <v>12553041.036323847</v>
      </c>
      <c r="AB43" t="s">
        <v>1850</v>
      </c>
      <c r="AC43" t="s">
        <v>1843</v>
      </c>
      <c r="AD43" t="s">
        <v>1854</v>
      </c>
    </row>
    <row r="44" spans="1:30">
      <c r="A44" t="s">
        <v>632</v>
      </c>
      <c r="B44" t="s">
        <v>63</v>
      </c>
      <c r="C44" t="s">
        <v>64</v>
      </c>
      <c r="D44" t="s">
        <v>82</v>
      </c>
      <c r="E44">
        <v>2023</v>
      </c>
      <c r="F44">
        <v>7396153</v>
      </c>
      <c r="G44">
        <v>1.4800000000000001E-2</v>
      </c>
      <c r="H44">
        <v>109463.06</v>
      </c>
      <c r="I44" t="s">
        <v>1057</v>
      </c>
      <c r="J44" t="s">
        <v>1058</v>
      </c>
      <c r="K44" t="s">
        <v>205</v>
      </c>
      <c r="L44">
        <v>7300499</v>
      </c>
      <c r="M44" s="8">
        <v>45111</v>
      </c>
      <c r="N44" t="s">
        <v>64</v>
      </c>
      <c r="O44">
        <v>1.4800000000000001E-2</v>
      </c>
      <c r="P44">
        <v>2</v>
      </c>
      <c r="Q44" t="s">
        <v>1824</v>
      </c>
      <c r="R44" t="s">
        <v>1838</v>
      </c>
      <c r="S44" t="s">
        <v>1839</v>
      </c>
      <c r="T44" t="s">
        <v>1838</v>
      </c>
      <c r="U44" t="s">
        <v>1844</v>
      </c>
      <c r="V44" t="s">
        <v>1838</v>
      </c>
      <c r="W44" t="s">
        <v>1838</v>
      </c>
      <c r="X44" t="s">
        <v>1838</v>
      </c>
      <c r="Y44" t="s">
        <v>1841</v>
      </c>
      <c r="Z44">
        <v>4842179.1619999995</v>
      </c>
      <c r="AA44">
        <v>12553041.036323847</v>
      </c>
      <c r="AB44" t="s">
        <v>1850</v>
      </c>
      <c r="AC44" t="s">
        <v>1843</v>
      </c>
      <c r="AD44" t="s">
        <v>1854</v>
      </c>
    </row>
    <row r="45" spans="1:30">
      <c r="A45" t="s">
        <v>643</v>
      </c>
      <c r="B45" t="s">
        <v>131</v>
      </c>
      <c r="C45" t="s">
        <v>132</v>
      </c>
      <c r="D45" t="s">
        <v>644</v>
      </c>
      <c r="E45">
        <v>2022</v>
      </c>
      <c r="F45">
        <v>7288890</v>
      </c>
      <c r="G45">
        <v>1.5100000000000001E-2</v>
      </c>
      <c r="H45">
        <v>110062.24</v>
      </c>
      <c r="I45" t="s">
        <v>645</v>
      </c>
      <c r="J45" t="s">
        <v>646</v>
      </c>
      <c r="K45" t="s">
        <v>647</v>
      </c>
      <c r="L45">
        <v>7359396</v>
      </c>
      <c r="M45" s="8">
        <v>44691</v>
      </c>
      <c r="N45" t="s">
        <v>132</v>
      </c>
      <c r="P45">
        <v>1</v>
      </c>
      <c r="R45" t="s">
        <v>1838</v>
      </c>
      <c r="S45" t="s">
        <v>1839</v>
      </c>
      <c r="T45" t="s">
        <v>1845</v>
      </c>
      <c r="U45" t="s">
        <v>1840</v>
      </c>
      <c r="V45" t="s">
        <v>1838</v>
      </c>
      <c r="W45" t="s">
        <v>1842</v>
      </c>
      <c r="X45" t="s">
        <v>1838</v>
      </c>
      <c r="Y45" t="s">
        <v>1841</v>
      </c>
      <c r="Z45">
        <v>4842179.1619999995</v>
      </c>
      <c r="AA45">
        <v>12553041.036323847</v>
      </c>
      <c r="AB45" t="s">
        <v>1850</v>
      </c>
      <c r="AC45" t="s">
        <v>1843</v>
      </c>
      <c r="AD45" t="s">
        <v>1858</v>
      </c>
    </row>
    <row r="46" spans="1:30">
      <c r="A46" t="s">
        <v>669</v>
      </c>
      <c r="B46" t="s">
        <v>137</v>
      </c>
      <c r="C46" t="s">
        <v>138</v>
      </c>
      <c r="D46" t="s">
        <v>51</v>
      </c>
      <c r="E46">
        <v>2021</v>
      </c>
      <c r="F46">
        <v>659434</v>
      </c>
      <c r="G46">
        <v>1.2699999999999999E-2</v>
      </c>
      <c r="H46">
        <v>8524.81</v>
      </c>
      <c r="I46" t="s">
        <v>670</v>
      </c>
      <c r="J46" t="s">
        <v>671</v>
      </c>
      <c r="K46" t="s">
        <v>672</v>
      </c>
      <c r="L46">
        <v>629798</v>
      </c>
      <c r="M46" s="8">
        <v>43887</v>
      </c>
      <c r="N46" t="s">
        <v>138</v>
      </c>
      <c r="O46">
        <v>1.2699999999999999E-2</v>
      </c>
      <c r="P46">
        <v>1</v>
      </c>
      <c r="Q46" t="s">
        <v>1820</v>
      </c>
      <c r="R46" t="s">
        <v>1838</v>
      </c>
      <c r="S46" t="s">
        <v>1839</v>
      </c>
      <c r="T46" t="s">
        <v>1845</v>
      </c>
      <c r="U46" t="s">
        <v>1840</v>
      </c>
      <c r="V46" t="s">
        <v>1838</v>
      </c>
      <c r="W46" t="s">
        <v>1838</v>
      </c>
      <c r="X46" t="s">
        <v>1838</v>
      </c>
      <c r="Y46" t="s">
        <v>1841</v>
      </c>
      <c r="Z46">
        <v>4842179.1619999995</v>
      </c>
      <c r="AA46">
        <v>12553041.036323847</v>
      </c>
      <c r="AB46" t="s">
        <v>1850</v>
      </c>
      <c r="AC46" t="s">
        <v>1843</v>
      </c>
      <c r="AD46" t="s">
        <v>1857</v>
      </c>
    </row>
    <row r="47" spans="1:30">
      <c r="A47" t="s">
        <v>673</v>
      </c>
      <c r="B47" t="s">
        <v>87</v>
      </c>
      <c r="C47" t="s">
        <v>88</v>
      </c>
      <c r="D47" t="s">
        <v>577</v>
      </c>
      <c r="E47">
        <v>2022</v>
      </c>
      <c r="F47">
        <v>975194</v>
      </c>
      <c r="G47">
        <v>1.2500000000000001E-2</v>
      </c>
      <c r="H47">
        <v>12189.93</v>
      </c>
      <c r="I47" t="s">
        <v>674</v>
      </c>
      <c r="J47" t="s">
        <v>675</v>
      </c>
      <c r="K47" t="s">
        <v>676</v>
      </c>
      <c r="L47">
        <v>1123522</v>
      </c>
      <c r="M47" s="8">
        <v>44577</v>
      </c>
      <c r="N47" t="s">
        <v>88</v>
      </c>
      <c r="P47">
        <v>1</v>
      </c>
      <c r="R47" t="s">
        <v>1838</v>
      </c>
      <c r="S47" t="s">
        <v>1839</v>
      </c>
      <c r="T47" t="s">
        <v>1845</v>
      </c>
      <c r="U47" t="s">
        <v>1840</v>
      </c>
      <c r="V47" t="s">
        <v>1838</v>
      </c>
      <c r="W47" t="s">
        <v>1842</v>
      </c>
      <c r="X47" t="s">
        <v>1838</v>
      </c>
      <c r="Y47" t="s">
        <v>1841</v>
      </c>
      <c r="Z47">
        <v>4842179.1619999995</v>
      </c>
      <c r="AA47">
        <v>12553041.036323847</v>
      </c>
      <c r="AB47" t="s">
        <v>1850</v>
      </c>
      <c r="AC47" t="s">
        <v>1843</v>
      </c>
      <c r="AD47" t="s">
        <v>1858</v>
      </c>
    </row>
    <row r="48" spans="1:30">
      <c r="A48" t="s">
        <v>677</v>
      </c>
      <c r="B48" t="s">
        <v>678</v>
      </c>
      <c r="C48" t="s">
        <v>50</v>
      </c>
      <c r="D48" t="s">
        <v>82</v>
      </c>
      <c r="E48">
        <v>2023</v>
      </c>
      <c r="F48">
        <v>3388815</v>
      </c>
      <c r="G48">
        <v>1.44E-2</v>
      </c>
      <c r="H48">
        <v>48798.94</v>
      </c>
      <c r="I48" t="s">
        <v>679</v>
      </c>
      <c r="J48" t="s">
        <v>680</v>
      </c>
      <c r="K48" t="s">
        <v>681</v>
      </c>
      <c r="L48">
        <v>3059386</v>
      </c>
      <c r="M48" s="8">
        <v>44241</v>
      </c>
      <c r="P48">
        <v>1</v>
      </c>
      <c r="Q48" t="s">
        <v>1824</v>
      </c>
      <c r="R48" t="s">
        <v>1842</v>
      </c>
      <c r="S48" t="s">
        <v>1845</v>
      </c>
      <c r="T48" t="s">
        <v>1845</v>
      </c>
      <c r="U48" t="s">
        <v>1840</v>
      </c>
      <c r="V48" t="s">
        <v>1838</v>
      </c>
      <c r="W48" t="s">
        <v>1838</v>
      </c>
      <c r="X48" t="s">
        <v>1838</v>
      </c>
      <c r="Y48" t="s">
        <v>1841</v>
      </c>
      <c r="Z48">
        <v>4842179.1619999995</v>
      </c>
      <c r="AA48">
        <v>12553041.036323847</v>
      </c>
      <c r="AB48" t="s">
        <v>1850</v>
      </c>
      <c r="AC48" t="s">
        <v>1843</v>
      </c>
      <c r="AD48" t="s">
        <v>1860</v>
      </c>
    </row>
    <row r="49" spans="1:30">
      <c r="A49" t="s">
        <v>708</v>
      </c>
      <c r="B49" t="s">
        <v>131</v>
      </c>
      <c r="C49" t="s">
        <v>132</v>
      </c>
      <c r="D49" t="s">
        <v>51</v>
      </c>
      <c r="E49">
        <v>2022</v>
      </c>
      <c r="F49">
        <v>887818</v>
      </c>
      <c r="G49">
        <v>1.2800000000000001E-2</v>
      </c>
      <c r="H49">
        <v>11364.07</v>
      </c>
      <c r="I49" t="s">
        <v>709</v>
      </c>
      <c r="J49" t="s">
        <v>550</v>
      </c>
      <c r="K49" t="s">
        <v>710</v>
      </c>
      <c r="L49">
        <v>948092</v>
      </c>
      <c r="M49" s="8">
        <v>45451</v>
      </c>
      <c r="N49" t="s">
        <v>132</v>
      </c>
      <c r="O49">
        <v>1.2800000000000001E-2</v>
      </c>
      <c r="P49">
        <v>1</v>
      </c>
      <c r="Q49" t="s">
        <v>1820</v>
      </c>
      <c r="R49" t="s">
        <v>1838</v>
      </c>
      <c r="S49" t="s">
        <v>1839</v>
      </c>
      <c r="T49" t="s">
        <v>1838</v>
      </c>
      <c r="U49" t="s">
        <v>1840</v>
      </c>
      <c r="V49" t="s">
        <v>1842</v>
      </c>
      <c r="W49" t="s">
        <v>1838</v>
      </c>
      <c r="X49" t="s">
        <v>1838</v>
      </c>
      <c r="Y49" t="s">
        <v>1841</v>
      </c>
      <c r="Z49">
        <v>4842179.1619999995</v>
      </c>
      <c r="AA49">
        <v>12553041.036323847</v>
      </c>
      <c r="AB49" t="s">
        <v>1850</v>
      </c>
      <c r="AC49" t="s">
        <v>1843</v>
      </c>
      <c r="AD49" t="s">
        <v>1853</v>
      </c>
    </row>
    <row r="50" spans="1:30">
      <c r="A50" t="s">
        <v>730</v>
      </c>
      <c r="B50" t="s">
        <v>49</v>
      </c>
      <c r="C50" t="s">
        <v>50</v>
      </c>
      <c r="D50" t="s">
        <v>51</v>
      </c>
      <c r="E50">
        <v>2021</v>
      </c>
      <c r="F50">
        <v>692261</v>
      </c>
      <c r="G50">
        <v>1.21E-2</v>
      </c>
      <c r="H50">
        <v>8456.36</v>
      </c>
      <c r="I50" t="s">
        <v>731</v>
      </c>
      <c r="J50" t="s">
        <v>732</v>
      </c>
      <c r="K50" t="s">
        <v>448</v>
      </c>
      <c r="L50">
        <v>732378</v>
      </c>
      <c r="M50" s="8">
        <v>43602</v>
      </c>
      <c r="N50" t="s">
        <v>50</v>
      </c>
      <c r="O50">
        <v>1.21E-2</v>
      </c>
      <c r="P50">
        <v>1</v>
      </c>
      <c r="Q50" t="s">
        <v>1820</v>
      </c>
      <c r="R50" t="s">
        <v>1838</v>
      </c>
      <c r="S50" t="s">
        <v>1839</v>
      </c>
      <c r="T50" t="s">
        <v>1845</v>
      </c>
      <c r="U50" t="s">
        <v>1840</v>
      </c>
      <c r="V50" t="s">
        <v>1838</v>
      </c>
      <c r="W50" t="s">
        <v>1838</v>
      </c>
      <c r="X50" t="s">
        <v>1838</v>
      </c>
      <c r="Y50" t="s">
        <v>1841</v>
      </c>
      <c r="Z50">
        <v>4842179.1619999995</v>
      </c>
      <c r="AA50">
        <v>12553041.036323847</v>
      </c>
      <c r="AB50" t="s">
        <v>1850</v>
      </c>
      <c r="AC50" t="s">
        <v>1843</v>
      </c>
      <c r="AD50" t="s">
        <v>1857</v>
      </c>
    </row>
    <row r="51" spans="1:30">
      <c r="A51" t="s">
        <v>758</v>
      </c>
      <c r="B51" t="s">
        <v>137</v>
      </c>
      <c r="C51" t="s">
        <v>138</v>
      </c>
      <c r="D51" t="s">
        <v>82</v>
      </c>
      <c r="E51">
        <v>2023</v>
      </c>
      <c r="F51">
        <v>12600769</v>
      </c>
      <c r="G51">
        <v>1.4999999999999999E-2</v>
      </c>
      <c r="H51">
        <v>189011.54</v>
      </c>
      <c r="I51" t="s">
        <v>759</v>
      </c>
      <c r="J51" t="s">
        <v>760</v>
      </c>
      <c r="K51" t="s">
        <v>761</v>
      </c>
      <c r="L51">
        <v>13086245</v>
      </c>
      <c r="M51" s="8">
        <v>45631</v>
      </c>
      <c r="N51" t="s">
        <v>138</v>
      </c>
      <c r="O51">
        <v>1.4999999999999999E-2</v>
      </c>
      <c r="P51">
        <v>2</v>
      </c>
      <c r="Q51" t="s">
        <v>1824</v>
      </c>
      <c r="R51" t="s">
        <v>1838</v>
      </c>
      <c r="S51" t="s">
        <v>1839</v>
      </c>
      <c r="T51" t="s">
        <v>1838</v>
      </c>
      <c r="U51" t="s">
        <v>1844</v>
      </c>
      <c r="V51" t="s">
        <v>1838</v>
      </c>
      <c r="W51" t="s">
        <v>1838</v>
      </c>
      <c r="X51" t="s">
        <v>1838</v>
      </c>
      <c r="Y51" t="s">
        <v>1841</v>
      </c>
      <c r="Z51">
        <v>4842179.1619999995</v>
      </c>
      <c r="AA51">
        <v>12553041.036323847</v>
      </c>
      <c r="AB51" t="s">
        <v>1850</v>
      </c>
      <c r="AC51" t="s">
        <v>1843</v>
      </c>
      <c r="AD51" t="s">
        <v>1854</v>
      </c>
    </row>
    <row r="52" spans="1:30">
      <c r="A52" t="s">
        <v>758</v>
      </c>
      <c r="B52" t="s">
        <v>131</v>
      </c>
      <c r="C52" t="s">
        <v>132</v>
      </c>
      <c r="D52" t="s">
        <v>51</v>
      </c>
      <c r="E52">
        <v>2023</v>
      </c>
      <c r="F52">
        <v>675517</v>
      </c>
      <c r="G52">
        <v>1.2800000000000001E-2</v>
      </c>
      <c r="H52">
        <v>8646.6200000000008</v>
      </c>
      <c r="I52" t="s">
        <v>823</v>
      </c>
      <c r="J52" t="s">
        <v>824</v>
      </c>
      <c r="K52" t="s">
        <v>564</v>
      </c>
      <c r="L52">
        <v>800648</v>
      </c>
      <c r="M52" s="8">
        <v>44205</v>
      </c>
      <c r="N52" t="s">
        <v>132</v>
      </c>
      <c r="O52">
        <v>1.2800000000000001E-2</v>
      </c>
      <c r="P52">
        <v>2</v>
      </c>
      <c r="Q52" t="s">
        <v>1820</v>
      </c>
      <c r="R52" t="s">
        <v>1838</v>
      </c>
      <c r="S52" t="s">
        <v>1839</v>
      </c>
      <c r="T52" t="s">
        <v>1838</v>
      </c>
      <c r="U52" t="s">
        <v>1844</v>
      </c>
      <c r="V52" t="s">
        <v>1838</v>
      </c>
      <c r="W52" t="s">
        <v>1838</v>
      </c>
      <c r="X52" t="s">
        <v>1838</v>
      </c>
      <c r="Y52" t="s">
        <v>1841</v>
      </c>
      <c r="Z52">
        <v>4842179.1619999995</v>
      </c>
      <c r="AA52">
        <v>12553041.036323847</v>
      </c>
      <c r="AB52" t="s">
        <v>1850</v>
      </c>
      <c r="AC52" t="s">
        <v>1843</v>
      </c>
      <c r="AD52" t="s">
        <v>1854</v>
      </c>
    </row>
    <row r="53" spans="1:30">
      <c r="A53" t="s">
        <v>807</v>
      </c>
      <c r="B53" t="s">
        <v>137</v>
      </c>
      <c r="C53" t="s">
        <v>138</v>
      </c>
      <c r="D53" t="s">
        <v>71</v>
      </c>
      <c r="E53">
        <v>2024</v>
      </c>
      <c r="F53">
        <v>119505943</v>
      </c>
      <c r="G53">
        <v>1.8700000000000001E-2</v>
      </c>
      <c r="H53">
        <v>126686.63</v>
      </c>
      <c r="I53" t="s">
        <v>808</v>
      </c>
      <c r="J53" t="s">
        <v>809</v>
      </c>
      <c r="K53" t="s">
        <v>692</v>
      </c>
      <c r="L53">
        <v>6142565</v>
      </c>
      <c r="M53" s="8">
        <v>44656</v>
      </c>
      <c r="N53" t="s">
        <v>138</v>
      </c>
      <c r="O53">
        <v>1.8700000000000001E-2</v>
      </c>
      <c r="P53">
        <v>1</v>
      </c>
      <c r="Q53" t="s">
        <v>1822</v>
      </c>
      <c r="R53" t="s">
        <v>1838</v>
      </c>
      <c r="S53" t="s">
        <v>1839</v>
      </c>
      <c r="T53" t="s">
        <v>1845</v>
      </c>
      <c r="U53" t="s">
        <v>1840</v>
      </c>
      <c r="V53" t="s">
        <v>1838</v>
      </c>
      <c r="W53" t="s">
        <v>1838</v>
      </c>
      <c r="X53" t="s">
        <v>1838</v>
      </c>
      <c r="Y53" t="s">
        <v>1841</v>
      </c>
      <c r="Z53">
        <v>4842179.1619999995</v>
      </c>
      <c r="AA53">
        <v>12553041.036323847</v>
      </c>
      <c r="AB53" t="s">
        <v>1851</v>
      </c>
      <c r="AC53" t="s">
        <v>1843</v>
      </c>
      <c r="AD53" t="s">
        <v>1861</v>
      </c>
    </row>
    <row r="54" spans="1:30">
      <c r="A54" t="s">
        <v>814</v>
      </c>
      <c r="B54" t="s">
        <v>63</v>
      </c>
      <c r="C54" t="s">
        <v>138</v>
      </c>
      <c r="D54" t="s">
        <v>51</v>
      </c>
      <c r="E54">
        <v>2024</v>
      </c>
      <c r="F54">
        <v>731615</v>
      </c>
      <c r="G54">
        <v>1.2500000000000001E-2</v>
      </c>
      <c r="H54">
        <v>9145.19</v>
      </c>
      <c r="I54" t="s">
        <v>815</v>
      </c>
      <c r="J54" t="s">
        <v>816</v>
      </c>
      <c r="K54" t="s">
        <v>817</v>
      </c>
      <c r="L54">
        <v>871155</v>
      </c>
      <c r="M54" s="8">
        <v>44411</v>
      </c>
      <c r="N54" t="s">
        <v>64</v>
      </c>
      <c r="O54">
        <v>1.2500000000000001E-2</v>
      </c>
      <c r="P54">
        <v>1</v>
      </c>
      <c r="Q54" t="s">
        <v>1820</v>
      </c>
      <c r="R54" t="s">
        <v>1838</v>
      </c>
      <c r="S54" t="s">
        <v>1845</v>
      </c>
      <c r="T54" t="s">
        <v>1838</v>
      </c>
      <c r="U54" t="s">
        <v>1840</v>
      </c>
      <c r="V54" t="s">
        <v>1838</v>
      </c>
      <c r="W54" t="s">
        <v>1838</v>
      </c>
      <c r="X54" t="s">
        <v>1838</v>
      </c>
      <c r="Y54" t="s">
        <v>1841</v>
      </c>
      <c r="Z54">
        <v>4842179.1619999995</v>
      </c>
      <c r="AA54">
        <v>12553041.036323847</v>
      </c>
      <c r="AB54" t="s">
        <v>1850</v>
      </c>
      <c r="AC54" t="s">
        <v>1843</v>
      </c>
      <c r="AD54" t="s">
        <v>1856</v>
      </c>
    </row>
    <row r="55" spans="1:30">
      <c r="A55" t="s">
        <v>825</v>
      </c>
      <c r="B55" t="s">
        <v>49</v>
      </c>
      <c r="C55" t="s">
        <v>50</v>
      </c>
      <c r="D55" t="s">
        <v>425</v>
      </c>
      <c r="E55">
        <v>2024</v>
      </c>
      <c r="F55">
        <v>3739727</v>
      </c>
      <c r="G55">
        <v>9.1000000000000004E-3</v>
      </c>
      <c r="H55">
        <v>34031.519999999997</v>
      </c>
      <c r="I55" t="s">
        <v>826</v>
      </c>
      <c r="J55" t="s">
        <v>827</v>
      </c>
      <c r="K55" t="s">
        <v>828</v>
      </c>
      <c r="L55">
        <v>4110447</v>
      </c>
      <c r="M55" s="8">
        <v>45094</v>
      </c>
      <c r="N55" t="s">
        <v>50</v>
      </c>
      <c r="P55">
        <v>1</v>
      </c>
      <c r="R55" t="s">
        <v>1838</v>
      </c>
      <c r="S55" t="s">
        <v>1839</v>
      </c>
      <c r="T55" t="s">
        <v>1845</v>
      </c>
      <c r="U55" t="s">
        <v>1840</v>
      </c>
      <c r="V55" t="s">
        <v>1838</v>
      </c>
      <c r="W55" t="s">
        <v>1842</v>
      </c>
      <c r="X55" t="s">
        <v>1838</v>
      </c>
      <c r="Y55" t="s">
        <v>1841</v>
      </c>
      <c r="Z55">
        <v>4842179.1619999995</v>
      </c>
      <c r="AA55">
        <v>12553041.036323847</v>
      </c>
      <c r="AB55" t="s">
        <v>1850</v>
      </c>
      <c r="AC55" t="s">
        <v>1843</v>
      </c>
      <c r="AD55" t="s">
        <v>1858</v>
      </c>
    </row>
    <row r="56" spans="1:30">
      <c r="A56" t="s">
        <v>843</v>
      </c>
      <c r="B56" t="s">
        <v>76</v>
      </c>
      <c r="C56" t="s">
        <v>138</v>
      </c>
      <c r="D56" t="s">
        <v>58</v>
      </c>
      <c r="E56">
        <v>2023</v>
      </c>
      <c r="F56">
        <v>1375295</v>
      </c>
      <c r="G56">
        <v>9.4000000000000004E-3</v>
      </c>
      <c r="H56">
        <v>12927.77</v>
      </c>
      <c r="I56" t="s">
        <v>844</v>
      </c>
      <c r="J56" t="s">
        <v>845</v>
      </c>
      <c r="K56" t="s">
        <v>608</v>
      </c>
      <c r="L56">
        <v>1542780</v>
      </c>
      <c r="M56" s="8">
        <v>45469</v>
      </c>
      <c r="N56" t="s">
        <v>77</v>
      </c>
      <c r="O56">
        <v>9.4000000000000004E-3</v>
      </c>
      <c r="P56">
        <v>1</v>
      </c>
      <c r="Q56" t="s">
        <v>1823</v>
      </c>
      <c r="R56" t="s">
        <v>1838</v>
      </c>
      <c r="S56" t="s">
        <v>1845</v>
      </c>
      <c r="T56" t="s">
        <v>1838</v>
      </c>
      <c r="U56" t="s">
        <v>1840</v>
      </c>
      <c r="V56" t="s">
        <v>1838</v>
      </c>
      <c r="W56" t="s">
        <v>1838</v>
      </c>
      <c r="X56" t="s">
        <v>1838</v>
      </c>
      <c r="Y56" t="s">
        <v>1841</v>
      </c>
      <c r="Z56">
        <v>4842179.1619999995</v>
      </c>
      <c r="AA56">
        <v>12553041.036323847</v>
      </c>
      <c r="AB56" t="s">
        <v>1850</v>
      </c>
      <c r="AC56" t="s">
        <v>1843</v>
      </c>
      <c r="AD56" t="s">
        <v>1856</v>
      </c>
    </row>
    <row r="57" spans="1:30">
      <c r="A57" t="s">
        <v>860</v>
      </c>
      <c r="B57" t="s">
        <v>56</v>
      </c>
      <c r="C57" t="s">
        <v>102</v>
      </c>
      <c r="D57" t="s">
        <v>58</v>
      </c>
      <c r="E57">
        <v>2024</v>
      </c>
      <c r="F57">
        <v>2264871</v>
      </c>
      <c r="G57">
        <v>9.4000000000000004E-3</v>
      </c>
      <c r="H57">
        <v>21289.79</v>
      </c>
      <c r="I57" t="s">
        <v>861</v>
      </c>
      <c r="J57" t="s">
        <v>862</v>
      </c>
      <c r="K57" t="s">
        <v>707</v>
      </c>
      <c r="L57">
        <v>2580111</v>
      </c>
      <c r="M57" s="8">
        <v>44496</v>
      </c>
      <c r="N57" t="s">
        <v>57</v>
      </c>
      <c r="O57">
        <v>9.4000000000000004E-3</v>
      </c>
      <c r="P57">
        <v>1</v>
      </c>
      <c r="Q57" t="s">
        <v>1823</v>
      </c>
      <c r="R57" t="s">
        <v>1838</v>
      </c>
      <c r="S57" t="s">
        <v>1845</v>
      </c>
      <c r="T57" t="s">
        <v>1838</v>
      </c>
      <c r="U57" t="s">
        <v>1840</v>
      </c>
      <c r="V57" t="s">
        <v>1838</v>
      </c>
      <c r="W57" t="s">
        <v>1838</v>
      </c>
      <c r="X57" t="s">
        <v>1838</v>
      </c>
      <c r="Y57" t="s">
        <v>1841</v>
      </c>
      <c r="Z57">
        <v>4842179.1619999995</v>
      </c>
      <c r="AA57">
        <v>12553041.036323847</v>
      </c>
      <c r="AB57" t="s">
        <v>1850</v>
      </c>
      <c r="AC57" t="s">
        <v>1843</v>
      </c>
      <c r="AD57" t="s">
        <v>1856</v>
      </c>
    </row>
    <row r="58" spans="1:30">
      <c r="A58" t="s">
        <v>878</v>
      </c>
      <c r="B58" t="s">
        <v>49</v>
      </c>
      <c r="C58" t="s">
        <v>64</v>
      </c>
      <c r="D58" t="s">
        <v>71</v>
      </c>
      <c r="E58">
        <v>2022</v>
      </c>
      <c r="F58">
        <v>8579819</v>
      </c>
      <c r="G58">
        <v>1.8100000000000002E-2</v>
      </c>
      <c r="H58">
        <v>155294.72</v>
      </c>
      <c r="I58" t="s">
        <v>879</v>
      </c>
      <c r="J58" t="s">
        <v>880</v>
      </c>
      <c r="K58" t="s">
        <v>881</v>
      </c>
      <c r="L58">
        <v>9771496</v>
      </c>
      <c r="M58" s="8">
        <v>44780</v>
      </c>
      <c r="N58" t="s">
        <v>50</v>
      </c>
      <c r="O58">
        <v>1.8100000000000002E-2</v>
      </c>
      <c r="P58">
        <v>1</v>
      </c>
      <c r="Q58" t="s">
        <v>1822</v>
      </c>
      <c r="R58" t="s">
        <v>1838</v>
      </c>
      <c r="S58" t="s">
        <v>1845</v>
      </c>
      <c r="T58" t="s">
        <v>1838</v>
      </c>
      <c r="U58" t="s">
        <v>1840</v>
      </c>
      <c r="V58" t="s">
        <v>1838</v>
      </c>
      <c r="W58" t="s">
        <v>1838</v>
      </c>
      <c r="X58" t="s">
        <v>1838</v>
      </c>
      <c r="Y58" t="s">
        <v>1841</v>
      </c>
      <c r="Z58">
        <v>4842179.1619999995</v>
      </c>
      <c r="AA58">
        <v>12553041.036323847</v>
      </c>
      <c r="AB58" t="s">
        <v>1850</v>
      </c>
      <c r="AC58" t="s">
        <v>1843</v>
      </c>
      <c r="AD58" t="s">
        <v>1856</v>
      </c>
    </row>
    <row r="59" spans="1:30">
      <c r="A59" t="s">
        <v>882</v>
      </c>
      <c r="B59" t="s">
        <v>69</v>
      </c>
      <c r="C59" t="s">
        <v>70</v>
      </c>
      <c r="D59" t="s">
        <v>51</v>
      </c>
      <c r="E59">
        <v>2024</v>
      </c>
      <c r="F59">
        <v>608183</v>
      </c>
      <c r="G59">
        <v>1.26E-2</v>
      </c>
      <c r="H59">
        <v>7563.11</v>
      </c>
      <c r="I59" t="s">
        <v>883</v>
      </c>
      <c r="J59" t="s">
        <v>884</v>
      </c>
      <c r="K59" t="s">
        <v>95</v>
      </c>
      <c r="L59">
        <v>582997</v>
      </c>
      <c r="M59" s="8">
        <v>45298</v>
      </c>
      <c r="N59" t="s">
        <v>70</v>
      </c>
      <c r="O59">
        <v>1.26E-2</v>
      </c>
      <c r="P59">
        <v>1</v>
      </c>
      <c r="Q59" t="s">
        <v>1820</v>
      </c>
      <c r="R59" t="s">
        <v>1838</v>
      </c>
      <c r="S59" t="s">
        <v>1839</v>
      </c>
      <c r="T59" t="s">
        <v>1845</v>
      </c>
      <c r="U59" t="s">
        <v>1840</v>
      </c>
      <c r="V59" t="s">
        <v>1838</v>
      </c>
      <c r="W59" t="s">
        <v>1838</v>
      </c>
      <c r="X59" t="s">
        <v>1838</v>
      </c>
      <c r="Y59" t="s">
        <v>1841</v>
      </c>
      <c r="Z59">
        <v>4842179.1619999995</v>
      </c>
      <c r="AA59">
        <v>12553041.036323847</v>
      </c>
      <c r="AB59" t="s">
        <v>1850</v>
      </c>
      <c r="AC59" t="s">
        <v>1843</v>
      </c>
      <c r="AD59" t="s">
        <v>1857</v>
      </c>
    </row>
    <row r="60" spans="1:30">
      <c r="A60" t="s">
        <v>897</v>
      </c>
      <c r="B60" t="s">
        <v>137</v>
      </c>
      <c r="C60" t="s">
        <v>138</v>
      </c>
      <c r="D60" t="s">
        <v>535</v>
      </c>
      <c r="E60">
        <v>2023</v>
      </c>
      <c r="F60">
        <v>3244975</v>
      </c>
      <c r="G60">
        <v>2.07E-2</v>
      </c>
      <c r="H60">
        <v>67170.98</v>
      </c>
      <c r="I60" t="s">
        <v>898</v>
      </c>
      <c r="J60" t="s">
        <v>899</v>
      </c>
      <c r="K60" t="s">
        <v>568</v>
      </c>
      <c r="L60">
        <v>3159043</v>
      </c>
      <c r="M60" s="8">
        <v>45349</v>
      </c>
      <c r="N60" t="s">
        <v>138</v>
      </c>
      <c r="P60">
        <v>1</v>
      </c>
      <c r="R60" t="s">
        <v>1838</v>
      </c>
      <c r="S60" t="s">
        <v>1839</v>
      </c>
      <c r="T60" t="s">
        <v>1845</v>
      </c>
      <c r="U60" t="s">
        <v>1840</v>
      </c>
      <c r="V60" t="s">
        <v>1838</v>
      </c>
      <c r="W60" t="s">
        <v>1842</v>
      </c>
      <c r="X60" t="s">
        <v>1838</v>
      </c>
      <c r="Y60" t="s">
        <v>1841</v>
      </c>
      <c r="Z60">
        <v>4842179.1619999995</v>
      </c>
      <c r="AA60">
        <v>12553041.036323847</v>
      </c>
      <c r="AB60" t="s">
        <v>1850</v>
      </c>
      <c r="AC60" t="s">
        <v>1843</v>
      </c>
      <c r="AD60" t="s">
        <v>1858</v>
      </c>
    </row>
    <row r="61" spans="1:30">
      <c r="A61" t="s">
        <v>943</v>
      </c>
      <c r="B61" t="s">
        <v>69</v>
      </c>
      <c r="C61" t="s">
        <v>70</v>
      </c>
      <c r="D61" t="s">
        <v>82</v>
      </c>
      <c r="E61">
        <v>2024</v>
      </c>
      <c r="F61">
        <v>5739654</v>
      </c>
      <c r="G61">
        <v>1.49E-2</v>
      </c>
      <c r="H61">
        <v>85820.84</v>
      </c>
      <c r="I61" t="s">
        <v>944</v>
      </c>
      <c r="J61" t="s">
        <v>945</v>
      </c>
      <c r="K61" t="s">
        <v>946</v>
      </c>
      <c r="L61">
        <v>6891423</v>
      </c>
      <c r="M61" s="8">
        <v>44777</v>
      </c>
      <c r="N61" t="s">
        <v>70</v>
      </c>
      <c r="O61">
        <v>1.49E-2</v>
      </c>
      <c r="P61">
        <v>1</v>
      </c>
      <c r="Q61" t="s">
        <v>1824</v>
      </c>
      <c r="R61" t="s">
        <v>1838</v>
      </c>
      <c r="S61" t="s">
        <v>1839</v>
      </c>
      <c r="T61" t="s">
        <v>1845</v>
      </c>
      <c r="U61" t="s">
        <v>1840</v>
      </c>
      <c r="V61" t="s">
        <v>1838</v>
      </c>
      <c r="W61" t="s">
        <v>1838</v>
      </c>
      <c r="X61" t="s">
        <v>1838</v>
      </c>
      <c r="Y61" t="s">
        <v>1841</v>
      </c>
      <c r="Z61">
        <v>4842179.1619999995</v>
      </c>
      <c r="AA61">
        <v>12553041.036323847</v>
      </c>
      <c r="AB61" t="s">
        <v>1850</v>
      </c>
      <c r="AC61" t="s">
        <v>1843</v>
      </c>
      <c r="AD61" t="s">
        <v>1857</v>
      </c>
    </row>
    <row r="62" spans="1:30">
      <c r="A62" t="s">
        <v>950</v>
      </c>
      <c r="B62" t="s">
        <v>137</v>
      </c>
      <c r="C62" t="s">
        <v>138</v>
      </c>
      <c r="D62" t="s">
        <v>577</v>
      </c>
      <c r="E62">
        <v>2024</v>
      </c>
      <c r="F62">
        <v>7805363</v>
      </c>
      <c r="G62">
        <v>1.4999999999999999E-2</v>
      </c>
      <c r="H62">
        <v>117080.44</v>
      </c>
      <c r="I62" t="s">
        <v>951</v>
      </c>
      <c r="J62" t="s">
        <v>952</v>
      </c>
      <c r="K62" t="s">
        <v>953</v>
      </c>
      <c r="L62">
        <v>7965566</v>
      </c>
      <c r="M62" s="8">
        <v>45641</v>
      </c>
      <c r="N62" t="s">
        <v>138</v>
      </c>
      <c r="P62">
        <v>1</v>
      </c>
      <c r="R62" t="s">
        <v>1838</v>
      </c>
      <c r="S62" t="s">
        <v>1839</v>
      </c>
      <c r="T62" t="s">
        <v>1845</v>
      </c>
      <c r="U62" t="s">
        <v>1840</v>
      </c>
      <c r="V62" t="s">
        <v>1838</v>
      </c>
      <c r="W62" t="s">
        <v>1842</v>
      </c>
      <c r="X62" t="s">
        <v>1838</v>
      </c>
      <c r="Y62" t="s">
        <v>1841</v>
      </c>
      <c r="Z62">
        <v>4842179.1619999995</v>
      </c>
      <c r="AA62">
        <v>12553041.036323847</v>
      </c>
      <c r="AB62" t="s">
        <v>1850</v>
      </c>
      <c r="AC62" t="s">
        <v>1843</v>
      </c>
      <c r="AD62" t="s">
        <v>1858</v>
      </c>
    </row>
    <row r="63" spans="1:30">
      <c r="A63" t="s">
        <v>954</v>
      </c>
      <c r="B63" t="s">
        <v>69</v>
      </c>
      <c r="C63" t="s">
        <v>70</v>
      </c>
      <c r="D63" t="s">
        <v>97</v>
      </c>
      <c r="E63">
        <v>2021</v>
      </c>
      <c r="F63">
        <v>3564551</v>
      </c>
      <c r="G63">
        <v>2.06E-2</v>
      </c>
      <c r="H63">
        <v>73179.75</v>
      </c>
      <c r="I63" t="s">
        <v>955</v>
      </c>
      <c r="J63" t="s">
        <v>956</v>
      </c>
      <c r="K63" t="s">
        <v>957</v>
      </c>
      <c r="L63">
        <v>3796546</v>
      </c>
      <c r="M63" s="8">
        <v>45249</v>
      </c>
      <c r="N63" t="s">
        <v>70</v>
      </c>
      <c r="O63">
        <v>2.06E-2</v>
      </c>
      <c r="P63">
        <v>1</v>
      </c>
      <c r="Q63" t="s">
        <v>1821</v>
      </c>
      <c r="R63" t="s">
        <v>1838</v>
      </c>
      <c r="S63" t="s">
        <v>1839</v>
      </c>
      <c r="T63" t="s">
        <v>1845</v>
      </c>
      <c r="U63" t="s">
        <v>1840</v>
      </c>
      <c r="V63" t="s">
        <v>1838</v>
      </c>
      <c r="W63" t="s">
        <v>1838</v>
      </c>
      <c r="X63" t="s">
        <v>1838</v>
      </c>
      <c r="Y63" t="s">
        <v>1841</v>
      </c>
      <c r="Z63">
        <v>4842179.1619999995</v>
      </c>
      <c r="AA63">
        <v>12553041.036323847</v>
      </c>
      <c r="AB63" t="s">
        <v>1850</v>
      </c>
      <c r="AC63" t="s">
        <v>1843</v>
      </c>
      <c r="AD63" t="s">
        <v>1857</v>
      </c>
    </row>
    <row r="64" spans="1:30">
      <c r="A64" t="s">
        <v>958</v>
      </c>
      <c r="B64" t="s">
        <v>49</v>
      </c>
      <c r="C64" t="s">
        <v>50</v>
      </c>
      <c r="D64" t="s">
        <v>51</v>
      </c>
      <c r="E64">
        <v>2023</v>
      </c>
      <c r="F64">
        <v>582994</v>
      </c>
      <c r="G64">
        <v>1.21E-2</v>
      </c>
      <c r="H64">
        <v>7134.23</v>
      </c>
      <c r="I64" t="s">
        <v>959</v>
      </c>
      <c r="J64" t="s">
        <v>960</v>
      </c>
      <c r="K64" t="s">
        <v>961</v>
      </c>
      <c r="L64">
        <v>565853</v>
      </c>
      <c r="M64" s="8">
        <v>45176</v>
      </c>
      <c r="N64" t="s">
        <v>50</v>
      </c>
      <c r="O64">
        <v>1.21E-2</v>
      </c>
      <c r="P64">
        <v>1</v>
      </c>
      <c r="Q64" t="s">
        <v>1820</v>
      </c>
      <c r="R64" t="s">
        <v>1838</v>
      </c>
      <c r="S64" t="s">
        <v>1839</v>
      </c>
      <c r="T64" t="s">
        <v>1845</v>
      </c>
      <c r="U64" t="s">
        <v>1840</v>
      </c>
      <c r="V64" t="s">
        <v>1838</v>
      </c>
      <c r="W64" t="s">
        <v>1838</v>
      </c>
      <c r="X64" t="s">
        <v>1838</v>
      </c>
      <c r="Y64" t="s">
        <v>1841</v>
      </c>
      <c r="Z64">
        <v>4842179.1619999995</v>
      </c>
      <c r="AA64">
        <v>12553041.036323847</v>
      </c>
      <c r="AB64" t="s">
        <v>1850</v>
      </c>
      <c r="AC64" t="s">
        <v>1843</v>
      </c>
      <c r="AD64" t="s">
        <v>1857</v>
      </c>
    </row>
    <row r="65" spans="1:30">
      <c r="A65" t="s">
        <v>977</v>
      </c>
      <c r="B65" t="s">
        <v>150</v>
      </c>
      <c r="C65" t="s">
        <v>151</v>
      </c>
      <c r="D65" t="s">
        <v>51</v>
      </c>
      <c r="E65">
        <v>2022</v>
      </c>
      <c r="F65">
        <v>8588130</v>
      </c>
      <c r="G65">
        <v>1.23E-2</v>
      </c>
      <c r="H65">
        <v>9277.14</v>
      </c>
      <c r="I65" t="s">
        <v>978</v>
      </c>
      <c r="J65" t="s">
        <v>979</v>
      </c>
      <c r="K65" t="s">
        <v>392</v>
      </c>
      <c r="L65">
        <v>744731</v>
      </c>
      <c r="M65" s="8">
        <v>44924</v>
      </c>
      <c r="N65" t="s">
        <v>151</v>
      </c>
      <c r="O65">
        <v>1.23E-2</v>
      </c>
      <c r="P65">
        <v>1</v>
      </c>
      <c r="Q65" t="s">
        <v>1820</v>
      </c>
      <c r="R65" t="s">
        <v>1838</v>
      </c>
      <c r="S65" t="s">
        <v>1839</v>
      </c>
      <c r="T65" t="s">
        <v>1845</v>
      </c>
      <c r="U65" t="s">
        <v>1840</v>
      </c>
      <c r="V65" t="s">
        <v>1838</v>
      </c>
      <c r="W65" t="s">
        <v>1838</v>
      </c>
      <c r="X65" t="s">
        <v>1838</v>
      </c>
      <c r="Y65" t="s">
        <v>1841</v>
      </c>
      <c r="Z65">
        <v>4842179.1619999995</v>
      </c>
      <c r="AA65">
        <v>12553041.036323847</v>
      </c>
      <c r="AB65" t="s">
        <v>1850</v>
      </c>
      <c r="AC65" t="s">
        <v>1843</v>
      </c>
      <c r="AD65" t="s">
        <v>1857</v>
      </c>
    </row>
    <row r="66" spans="1:30">
      <c r="A66" t="s">
        <v>987</v>
      </c>
      <c r="B66" t="s">
        <v>49</v>
      </c>
      <c r="C66" t="s">
        <v>70</v>
      </c>
      <c r="D66" t="s">
        <v>71</v>
      </c>
      <c r="E66">
        <v>2023</v>
      </c>
      <c r="F66">
        <v>5767336</v>
      </c>
      <c r="G66">
        <v>1.8100000000000002E-2</v>
      </c>
      <c r="H66">
        <v>104388.78</v>
      </c>
      <c r="I66" t="s">
        <v>988</v>
      </c>
      <c r="J66" t="s">
        <v>989</v>
      </c>
      <c r="K66" t="s">
        <v>990</v>
      </c>
      <c r="L66">
        <v>6915117</v>
      </c>
      <c r="M66" s="8">
        <v>44403</v>
      </c>
      <c r="N66" t="s">
        <v>50</v>
      </c>
      <c r="O66">
        <v>1.8100000000000002E-2</v>
      </c>
      <c r="P66">
        <v>1</v>
      </c>
      <c r="Q66" t="s">
        <v>1822</v>
      </c>
      <c r="R66" t="s">
        <v>1838</v>
      </c>
      <c r="S66" t="s">
        <v>1845</v>
      </c>
      <c r="T66" t="s">
        <v>1838</v>
      </c>
      <c r="U66" t="s">
        <v>1840</v>
      </c>
      <c r="V66" t="s">
        <v>1838</v>
      </c>
      <c r="W66" t="s">
        <v>1838</v>
      </c>
      <c r="X66" t="s">
        <v>1838</v>
      </c>
      <c r="Y66" t="s">
        <v>1841</v>
      </c>
      <c r="Z66">
        <v>4842179.1619999995</v>
      </c>
      <c r="AA66">
        <v>12553041.036323847</v>
      </c>
      <c r="AB66" t="s">
        <v>1850</v>
      </c>
      <c r="AC66" t="s">
        <v>1843</v>
      </c>
      <c r="AD66" t="s">
        <v>1856</v>
      </c>
    </row>
    <row r="67" spans="1:30">
      <c r="A67" t="s">
        <v>1007</v>
      </c>
      <c r="B67" t="s">
        <v>63</v>
      </c>
      <c r="C67" t="s">
        <v>64</v>
      </c>
      <c r="D67" t="s">
        <v>644</v>
      </c>
      <c r="E67">
        <v>2024</v>
      </c>
      <c r="F67">
        <v>788826</v>
      </c>
      <c r="G67">
        <v>1.2500000000000001E-2</v>
      </c>
      <c r="H67">
        <v>9860.33</v>
      </c>
      <c r="I67" t="s">
        <v>1008</v>
      </c>
      <c r="J67" t="s">
        <v>1009</v>
      </c>
      <c r="K67" t="s">
        <v>1010</v>
      </c>
      <c r="L67">
        <v>941449</v>
      </c>
      <c r="M67" s="8">
        <v>44255</v>
      </c>
      <c r="N67" t="s">
        <v>64</v>
      </c>
      <c r="P67">
        <v>1</v>
      </c>
      <c r="R67" t="s">
        <v>1838</v>
      </c>
      <c r="S67" t="s">
        <v>1839</v>
      </c>
      <c r="T67" t="s">
        <v>1845</v>
      </c>
      <c r="U67" t="s">
        <v>1840</v>
      </c>
      <c r="V67" t="s">
        <v>1838</v>
      </c>
      <c r="W67" t="s">
        <v>1842</v>
      </c>
      <c r="X67" t="s">
        <v>1838</v>
      </c>
      <c r="Y67" t="s">
        <v>1841</v>
      </c>
      <c r="Z67">
        <v>4842179.1619999995</v>
      </c>
      <c r="AA67">
        <v>12553041.036323847</v>
      </c>
      <c r="AB67" t="s">
        <v>1850</v>
      </c>
      <c r="AC67" t="s">
        <v>1843</v>
      </c>
      <c r="AD67" t="s">
        <v>1858</v>
      </c>
    </row>
    <row r="68" spans="1:30">
      <c r="A68" t="s">
        <v>1042</v>
      </c>
      <c r="B68" t="s">
        <v>101</v>
      </c>
      <c r="C68" t="s">
        <v>102</v>
      </c>
      <c r="D68" t="s">
        <v>82</v>
      </c>
      <c r="E68">
        <v>2023</v>
      </c>
      <c r="F68">
        <v>135379068</v>
      </c>
      <c r="G68">
        <v>1.52E-2</v>
      </c>
      <c r="H68">
        <v>2057761.83</v>
      </c>
      <c r="I68" t="s">
        <v>1043</v>
      </c>
      <c r="J68" t="s">
        <v>1044</v>
      </c>
      <c r="K68" t="s">
        <v>1045</v>
      </c>
      <c r="L68">
        <v>7577988</v>
      </c>
      <c r="M68" s="8">
        <v>44370</v>
      </c>
      <c r="N68" t="s">
        <v>102</v>
      </c>
      <c r="O68">
        <v>1.52E-2</v>
      </c>
      <c r="P68">
        <v>1</v>
      </c>
      <c r="Q68" t="s">
        <v>1824</v>
      </c>
      <c r="R68" t="s">
        <v>1838</v>
      </c>
      <c r="S68" t="s">
        <v>1839</v>
      </c>
      <c r="T68" t="s">
        <v>1838</v>
      </c>
      <c r="U68" t="s">
        <v>1840</v>
      </c>
      <c r="V68" t="s">
        <v>1838</v>
      </c>
      <c r="W68" t="s">
        <v>1838</v>
      </c>
      <c r="X68" t="s">
        <v>1838</v>
      </c>
      <c r="Y68" t="s">
        <v>1841</v>
      </c>
      <c r="Z68">
        <v>4842179.1619999995</v>
      </c>
      <c r="AA68">
        <v>12553041.036323847</v>
      </c>
      <c r="AB68" t="s">
        <v>1851</v>
      </c>
      <c r="AC68" t="s">
        <v>1843</v>
      </c>
      <c r="AD68" t="s">
        <v>1859</v>
      </c>
    </row>
    <row r="69" spans="1:30">
      <c r="A69" t="s">
        <v>1050</v>
      </c>
      <c r="B69" t="s">
        <v>1051</v>
      </c>
      <c r="C69" t="s">
        <v>64</v>
      </c>
      <c r="D69" t="s">
        <v>82</v>
      </c>
      <c r="E69">
        <v>2023</v>
      </c>
      <c r="F69">
        <v>5282985</v>
      </c>
      <c r="G69">
        <v>1.5100000000000001E-2</v>
      </c>
      <c r="H69">
        <v>79773.070000000007</v>
      </c>
      <c r="I69" t="s">
        <v>1052</v>
      </c>
      <c r="J69" t="s">
        <v>1053</v>
      </c>
      <c r="K69" t="s">
        <v>182</v>
      </c>
      <c r="L69">
        <v>4813518</v>
      </c>
      <c r="M69" s="8">
        <v>45145</v>
      </c>
      <c r="P69">
        <v>1</v>
      </c>
      <c r="Q69" t="s">
        <v>1824</v>
      </c>
      <c r="R69" t="s">
        <v>1842</v>
      </c>
      <c r="S69" t="s">
        <v>1845</v>
      </c>
      <c r="T69" t="s">
        <v>1845</v>
      </c>
      <c r="U69" t="s">
        <v>1840</v>
      </c>
      <c r="V69" t="s">
        <v>1838</v>
      </c>
      <c r="W69" t="s">
        <v>1838</v>
      </c>
      <c r="X69" t="s">
        <v>1838</v>
      </c>
      <c r="Y69" t="s">
        <v>1841</v>
      </c>
      <c r="Z69">
        <v>4842179.1619999995</v>
      </c>
      <c r="AA69">
        <v>12553041.036323847</v>
      </c>
      <c r="AB69" t="s">
        <v>1850</v>
      </c>
      <c r="AC69" t="s">
        <v>1843</v>
      </c>
      <c r="AD69" t="s">
        <v>1860</v>
      </c>
    </row>
    <row r="70" spans="1:30">
      <c r="A70" t="s">
        <v>1066</v>
      </c>
      <c r="B70" t="s">
        <v>137</v>
      </c>
      <c r="C70" t="s">
        <v>138</v>
      </c>
      <c r="D70" t="s">
        <v>82</v>
      </c>
      <c r="E70">
        <v>2021</v>
      </c>
      <c r="F70">
        <v>7268460</v>
      </c>
      <c r="G70">
        <v>1.4999999999999999E-2</v>
      </c>
      <c r="H70">
        <v>109026.9</v>
      </c>
      <c r="I70" t="s">
        <v>1067</v>
      </c>
      <c r="J70" t="s">
        <v>60</v>
      </c>
      <c r="K70" t="s">
        <v>519</v>
      </c>
      <c r="L70">
        <v>6893719</v>
      </c>
      <c r="M70" s="8">
        <v>44969</v>
      </c>
      <c r="N70" t="s">
        <v>138</v>
      </c>
      <c r="O70">
        <v>1.4999999999999999E-2</v>
      </c>
      <c r="P70">
        <v>1</v>
      </c>
      <c r="Q70" t="s">
        <v>1824</v>
      </c>
      <c r="R70" t="s">
        <v>1838</v>
      </c>
      <c r="S70" t="s">
        <v>1839</v>
      </c>
      <c r="T70" t="s">
        <v>1838</v>
      </c>
      <c r="U70" t="s">
        <v>1840</v>
      </c>
      <c r="V70" t="s">
        <v>1842</v>
      </c>
      <c r="W70" t="s">
        <v>1838</v>
      </c>
      <c r="X70" t="s">
        <v>1838</v>
      </c>
      <c r="Y70" t="s">
        <v>1841</v>
      </c>
      <c r="Z70">
        <v>4842179.1619999995</v>
      </c>
      <c r="AA70">
        <v>12553041.036323847</v>
      </c>
      <c r="AB70" t="s">
        <v>1850</v>
      </c>
      <c r="AC70" t="s">
        <v>1843</v>
      </c>
      <c r="AD70" t="s">
        <v>1853</v>
      </c>
    </row>
    <row r="71" spans="1:30">
      <c r="A71" t="s">
        <v>1086</v>
      </c>
      <c r="B71" t="s">
        <v>87</v>
      </c>
      <c r="C71" t="s">
        <v>84</v>
      </c>
      <c r="D71" t="s">
        <v>97</v>
      </c>
      <c r="E71">
        <v>2024</v>
      </c>
      <c r="F71">
        <v>993161</v>
      </c>
      <c r="G71">
        <v>2.0500000000000001E-2</v>
      </c>
      <c r="H71">
        <v>20359.8</v>
      </c>
      <c r="I71" t="s">
        <v>1087</v>
      </c>
      <c r="J71" t="s">
        <v>1088</v>
      </c>
      <c r="K71" t="s">
        <v>620</v>
      </c>
      <c r="L71">
        <v>1050289</v>
      </c>
      <c r="M71" s="8">
        <v>44243</v>
      </c>
      <c r="N71" t="s">
        <v>88</v>
      </c>
      <c r="O71">
        <v>2.0500000000000001E-2</v>
      </c>
      <c r="P71">
        <v>1</v>
      </c>
      <c r="Q71" t="s">
        <v>1821</v>
      </c>
      <c r="R71" t="s">
        <v>1838</v>
      </c>
      <c r="S71" t="s">
        <v>1845</v>
      </c>
      <c r="T71" t="s">
        <v>1838</v>
      </c>
      <c r="U71" t="s">
        <v>1840</v>
      </c>
      <c r="V71" t="s">
        <v>1838</v>
      </c>
      <c r="W71" t="s">
        <v>1838</v>
      </c>
      <c r="X71" t="s">
        <v>1838</v>
      </c>
      <c r="Y71" t="s">
        <v>1841</v>
      </c>
      <c r="Z71">
        <v>4842179.1619999995</v>
      </c>
      <c r="AA71">
        <v>12553041.036323847</v>
      </c>
      <c r="AB71" t="s">
        <v>1850</v>
      </c>
      <c r="AC71" t="s">
        <v>1843</v>
      </c>
      <c r="AD71" t="s">
        <v>1856</v>
      </c>
    </row>
    <row r="72" spans="1:30">
      <c r="A72" t="s">
        <v>1092</v>
      </c>
      <c r="B72" t="s">
        <v>63</v>
      </c>
      <c r="C72" t="s">
        <v>64</v>
      </c>
      <c r="D72" t="s">
        <v>58</v>
      </c>
      <c r="E72">
        <v>2021</v>
      </c>
      <c r="F72">
        <v>650671</v>
      </c>
      <c r="G72">
        <v>9.4999999999999998E-3</v>
      </c>
      <c r="H72">
        <v>6181.37</v>
      </c>
      <c r="I72" t="s">
        <v>1093</v>
      </c>
      <c r="J72" t="s">
        <v>1094</v>
      </c>
      <c r="K72" t="s">
        <v>385</v>
      </c>
      <c r="L72">
        <v>628058</v>
      </c>
      <c r="M72" s="8">
        <v>46640</v>
      </c>
      <c r="N72" t="s">
        <v>64</v>
      </c>
      <c r="O72">
        <v>9.4999999999999998E-3</v>
      </c>
      <c r="P72">
        <v>1</v>
      </c>
      <c r="Q72" t="s">
        <v>1823</v>
      </c>
      <c r="R72" t="s">
        <v>1838</v>
      </c>
      <c r="S72" t="s">
        <v>1839</v>
      </c>
      <c r="T72" t="s">
        <v>1838</v>
      </c>
      <c r="U72" t="s">
        <v>1840</v>
      </c>
      <c r="V72" t="s">
        <v>1838</v>
      </c>
      <c r="W72" t="s">
        <v>1838</v>
      </c>
      <c r="X72" t="s">
        <v>1842</v>
      </c>
      <c r="Y72" t="s">
        <v>1841</v>
      </c>
      <c r="Z72">
        <v>4842179.1619999995</v>
      </c>
      <c r="AA72">
        <v>12553041.036323847</v>
      </c>
      <c r="AB72" t="s">
        <v>1850</v>
      </c>
      <c r="AC72" t="s">
        <v>1843</v>
      </c>
      <c r="AD72" t="s">
        <v>1855</v>
      </c>
    </row>
    <row r="73" spans="1:30">
      <c r="A73" t="s">
        <v>1127</v>
      </c>
      <c r="B73" t="s">
        <v>87</v>
      </c>
      <c r="C73" t="s">
        <v>88</v>
      </c>
      <c r="D73" t="s">
        <v>97</v>
      </c>
      <c r="E73">
        <v>2024</v>
      </c>
      <c r="F73">
        <v>2747945</v>
      </c>
      <c r="G73">
        <v>2.0500000000000001E-2</v>
      </c>
      <c r="H73">
        <v>56482.87</v>
      </c>
      <c r="I73" t="s">
        <v>1128</v>
      </c>
      <c r="J73" t="s">
        <v>1129</v>
      </c>
      <c r="K73" t="s">
        <v>1130</v>
      </c>
      <c r="L73">
        <v>3075661</v>
      </c>
      <c r="M73" s="8">
        <v>44437</v>
      </c>
      <c r="N73" t="s">
        <v>88</v>
      </c>
      <c r="O73">
        <v>2.0500000000000001E-2</v>
      </c>
      <c r="P73">
        <v>1</v>
      </c>
      <c r="Q73" t="s">
        <v>1821</v>
      </c>
      <c r="R73" t="s">
        <v>1838</v>
      </c>
      <c r="S73" t="s">
        <v>1839</v>
      </c>
      <c r="T73" t="s">
        <v>1845</v>
      </c>
      <c r="U73" t="s">
        <v>1840</v>
      </c>
      <c r="V73" t="s">
        <v>1838</v>
      </c>
      <c r="W73" t="s">
        <v>1838</v>
      </c>
      <c r="X73" t="s">
        <v>1838</v>
      </c>
      <c r="Y73" t="s">
        <v>1841</v>
      </c>
      <c r="Z73">
        <v>4842179.1619999995</v>
      </c>
      <c r="AA73">
        <v>12553041.036323847</v>
      </c>
      <c r="AB73" t="s">
        <v>1850</v>
      </c>
      <c r="AC73" t="s">
        <v>1843</v>
      </c>
      <c r="AD73" t="s">
        <v>1857</v>
      </c>
    </row>
    <row r="74" spans="1:30">
      <c r="A74" t="s">
        <v>1138</v>
      </c>
      <c r="B74" t="s">
        <v>131</v>
      </c>
      <c r="C74" t="s">
        <v>132</v>
      </c>
      <c r="D74" t="s">
        <v>71</v>
      </c>
      <c r="E74">
        <v>2022</v>
      </c>
      <c r="F74">
        <v>10161125</v>
      </c>
      <c r="G74">
        <v>1.8800000000000001E-2</v>
      </c>
      <c r="H74">
        <v>191029.15</v>
      </c>
      <c r="I74" t="s">
        <v>1139</v>
      </c>
      <c r="J74" t="s">
        <v>1140</v>
      </c>
      <c r="K74" t="s">
        <v>1141</v>
      </c>
      <c r="L74">
        <v>9578975</v>
      </c>
      <c r="M74" s="8">
        <v>44590</v>
      </c>
      <c r="N74" t="s">
        <v>132</v>
      </c>
      <c r="O74">
        <v>1.8800000000000001E-2</v>
      </c>
      <c r="P74">
        <v>2</v>
      </c>
      <c r="Q74" t="s">
        <v>1822</v>
      </c>
      <c r="R74" t="s">
        <v>1838</v>
      </c>
      <c r="S74" t="s">
        <v>1839</v>
      </c>
      <c r="T74" t="s">
        <v>1838</v>
      </c>
      <c r="U74" t="s">
        <v>1844</v>
      </c>
      <c r="V74" t="s">
        <v>1838</v>
      </c>
      <c r="W74" t="s">
        <v>1838</v>
      </c>
      <c r="X74" t="s">
        <v>1838</v>
      </c>
      <c r="Y74" t="s">
        <v>1841</v>
      </c>
      <c r="Z74">
        <v>4842179.1619999995</v>
      </c>
      <c r="AA74">
        <v>12553041.036323847</v>
      </c>
      <c r="AB74" t="s">
        <v>1850</v>
      </c>
      <c r="AC74" t="s">
        <v>1843</v>
      </c>
      <c r="AD74" t="s">
        <v>1854</v>
      </c>
    </row>
    <row r="75" spans="1:30">
      <c r="A75" t="s">
        <v>1138</v>
      </c>
      <c r="B75" t="s">
        <v>49</v>
      </c>
      <c r="C75" t="s">
        <v>50</v>
      </c>
      <c r="D75" t="s">
        <v>58</v>
      </c>
      <c r="E75">
        <v>2022</v>
      </c>
      <c r="F75">
        <v>3705140</v>
      </c>
      <c r="G75">
        <v>9.1000000000000004E-3</v>
      </c>
      <c r="H75">
        <v>33716.769999999997</v>
      </c>
      <c r="I75" t="s">
        <v>1603</v>
      </c>
      <c r="J75" t="s">
        <v>1604</v>
      </c>
      <c r="K75" t="s">
        <v>284</v>
      </c>
      <c r="L75">
        <v>3377866</v>
      </c>
      <c r="M75" s="8">
        <v>44749</v>
      </c>
      <c r="N75" t="s">
        <v>50</v>
      </c>
      <c r="O75">
        <v>9.1000000000000004E-3</v>
      </c>
      <c r="P75">
        <v>2</v>
      </c>
      <c r="Q75" t="s">
        <v>1823</v>
      </c>
      <c r="R75" t="s">
        <v>1838</v>
      </c>
      <c r="S75" t="s">
        <v>1839</v>
      </c>
      <c r="T75" t="s">
        <v>1838</v>
      </c>
      <c r="U75" t="s">
        <v>1844</v>
      </c>
      <c r="V75" t="s">
        <v>1838</v>
      </c>
      <c r="W75" t="s">
        <v>1838</v>
      </c>
      <c r="X75" t="s">
        <v>1838</v>
      </c>
      <c r="Y75" t="s">
        <v>1841</v>
      </c>
      <c r="Z75">
        <v>4842179.1619999995</v>
      </c>
      <c r="AA75">
        <v>12553041.036323847</v>
      </c>
      <c r="AB75" t="s">
        <v>1850</v>
      </c>
      <c r="AC75" t="s">
        <v>1843</v>
      </c>
      <c r="AD75" t="s">
        <v>1854</v>
      </c>
    </row>
    <row r="76" spans="1:30">
      <c r="A76" t="s">
        <v>1142</v>
      </c>
      <c r="B76" t="s">
        <v>150</v>
      </c>
      <c r="C76" t="s">
        <v>151</v>
      </c>
      <c r="D76" t="s">
        <v>82</v>
      </c>
      <c r="E76">
        <v>2024</v>
      </c>
      <c r="F76">
        <v>7347021</v>
      </c>
      <c r="G76">
        <v>1.46E-2</v>
      </c>
      <c r="H76">
        <v>107266.51</v>
      </c>
      <c r="I76" t="s">
        <v>1143</v>
      </c>
      <c r="J76" t="s">
        <v>583</v>
      </c>
      <c r="K76" t="s">
        <v>855</v>
      </c>
      <c r="L76">
        <v>7963340</v>
      </c>
      <c r="M76" s="8">
        <v>45473</v>
      </c>
      <c r="N76" t="s">
        <v>151</v>
      </c>
      <c r="O76">
        <v>1.46E-2</v>
      </c>
      <c r="P76">
        <v>1</v>
      </c>
      <c r="Q76" t="s">
        <v>1824</v>
      </c>
      <c r="R76" t="s">
        <v>1838</v>
      </c>
      <c r="S76" t="s">
        <v>1839</v>
      </c>
      <c r="T76" t="s">
        <v>1838</v>
      </c>
      <c r="U76" t="s">
        <v>1840</v>
      </c>
      <c r="V76" t="s">
        <v>1842</v>
      </c>
      <c r="W76" t="s">
        <v>1838</v>
      </c>
      <c r="X76" t="s">
        <v>1838</v>
      </c>
      <c r="Y76" t="s">
        <v>1841</v>
      </c>
      <c r="Z76">
        <v>4842179.1619999995</v>
      </c>
      <c r="AA76">
        <v>12553041.036323847</v>
      </c>
      <c r="AB76" t="s">
        <v>1850</v>
      </c>
      <c r="AC76" t="s">
        <v>1843</v>
      </c>
      <c r="AD76" t="s">
        <v>1853</v>
      </c>
    </row>
    <row r="77" spans="1:30">
      <c r="A77" t="s">
        <v>1153</v>
      </c>
      <c r="B77" t="s">
        <v>63</v>
      </c>
      <c r="C77" t="s">
        <v>64</v>
      </c>
      <c r="D77" t="s">
        <v>82</v>
      </c>
      <c r="E77">
        <v>2023</v>
      </c>
      <c r="F77">
        <v>7808553</v>
      </c>
      <c r="G77">
        <v>1.4800000000000001E-2</v>
      </c>
      <c r="H77">
        <v>115646.58</v>
      </c>
      <c r="I77" t="s">
        <v>1154</v>
      </c>
      <c r="J77" t="s">
        <v>1155</v>
      </c>
      <c r="K77" t="s">
        <v>533</v>
      </c>
      <c r="L77">
        <v>8487863</v>
      </c>
      <c r="M77" s="8">
        <v>44170</v>
      </c>
      <c r="N77" t="s">
        <v>64</v>
      </c>
      <c r="O77">
        <v>1.4800000000000001E-2</v>
      </c>
      <c r="P77">
        <v>1</v>
      </c>
      <c r="Q77" t="s">
        <v>1824</v>
      </c>
      <c r="R77" t="s">
        <v>1838</v>
      </c>
      <c r="S77" t="s">
        <v>1839</v>
      </c>
      <c r="T77" t="s">
        <v>1845</v>
      </c>
      <c r="U77" t="s">
        <v>1840</v>
      </c>
      <c r="V77" t="s">
        <v>1838</v>
      </c>
      <c r="W77" t="s">
        <v>1838</v>
      </c>
      <c r="X77" t="s">
        <v>1838</v>
      </c>
      <c r="Y77" t="s">
        <v>1841</v>
      </c>
      <c r="Z77">
        <v>4842179.1619999995</v>
      </c>
      <c r="AA77">
        <v>12553041.036323847</v>
      </c>
      <c r="AB77" t="s">
        <v>1850</v>
      </c>
      <c r="AC77" t="s">
        <v>1843</v>
      </c>
      <c r="AD77" t="s">
        <v>1857</v>
      </c>
    </row>
    <row r="78" spans="1:30">
      <c r="A78" t="s">
        <v>1159</v>
      </c>
      <c r="B78" t="s">
        <v>678</v>
      </c>
      <c r="C78" t="s">
        <v>50</v>
      </c>
      <c r="D78" t="s">
        <v>71</v>
      </c>
      <c r="E78">
        <v>2021</v>
      </c>
      <c r="F78">
        <v>7278552</v>
      </c>
      <c r="G78">
        <v>1.8100000000000002E-2</v>
      </c>
      <c r="H78">
        <v>131741.79</v>
      </c>
      <c r="I78" t="s">
        <v>1160</v>
      </c>
      <c r="J78" t="s">
        <v>1161</v>
      </c>
      <c r="K78" t="s">
        <v>1162</v>
      </c>
      <c r="L78">
        <v>8510945</v>
      </c>
      <c r="M78" s="8">
        <v>43868</v>
      </c>
      <c r="P78">
        <v>1</v>
      </c>
      <c r="Q78" t="s">
        <v>1822</v>
      </c>
      <c r="R78" t="s">
        <v>1842</v>
      </c>
      <c r="S78" t="s">
        <v>1845</v>
      </c>
      <c r="T78" t="s">
        <v>1845</v>
      </c>
      <c r="U78" t="s">
        <v>1840</v>
      </c>
      <c r="V78" t="s">
        <v>1838</v>
      </c>
      <c r="W78" t="s">
        <v>1838</v>
      </c>
      <c r="X78" t="s">
        <v>1838</v>
      </c>
      <c r="Y78" t="s">
        <v>1841</v>
      </c>
      <c r="Z78">
        <v>4842179.1619999995</v>
      </c>
      <c r="AA78">
        <v>12553041.036323847</v>
      </c>
      <c r="AB78" t="s">
        <v>1850</v>
      </c>
      <c r="AC78" t="s">
        <v>1843</v>
      </c>
      <c r="AD78" t="s">
        <v>1860</v>
      </c>
    </row>
    <row r="79" spans="1:30">
      <c r="A79" t="s">
        <v>1166</v>
      </c>
      <c r="B79" t="s">
        <v>76</v>
      </c>
      <c r="C79" t="s">
        <v>77</v>
      </c>
      <c r="D79" t="s">
        <v>71</v>
      </c>
      <c r="E79">
        <v>2022</v>
      </c>
      <c r="F79">
        <v>2988944</v>
      </c>
      <c r="G79">
        <v>1.84E-2</v>
      </c>
      <c r="H79">
        <v>54996.57</v>
      </c>
      <c r="I79" t="s">
        <v>1167</v>
      </c>
      <c r="J79" t="s">
        <v>1168</v>
      </c>
      <c r="K79" t="s">
        <v>221</v>
      </c>
      <c r="L79">
        <v>2797148</v>
      </c>
      <c r="M79" s="8">
        <v>45688</v>
      </c>
      <c r="N79" t="s">
        <v>77</v>
      </c>
      <c r="O79">
        <v>1.84E-2</v>
      </c>
      <c r="P79">
        <v>1</v>
      </c>
      <c r="Q79" t="s">
        <v>1822</v>
      </c>
      <c r="R79" t="s">
        <v>1838</v>
      </c>
      <c r="S79" t="s">
        <v>1839</v>
      </c>
      <c r="T79" t="s">
        <v>1838</v>
      </c>
      <c r="U79" t="s">
        <v>1840</v>
      </c>
      <c r="V79" t="s">
        <v>1842</v>
      </c>
      <c r="W79" t="s">
        <v>1838</v>
      </c>
      <c r="X79" t="s">
        <v>1838</v>
      </c>
      <c r="Y79" t="s">
        <v>1841</v>
      </c>
      <c r="Z79">
        <v>4842179.1619999995</v>
      </c>
      <c r="AA79">
        <v>12553041.036323847</v>
      </c>
      <c r="AB79" t="s">
        <v>1850</v>
      </c>
      <c r="AC79" t="s">
        <v>1843</v>
      </c>
      <c r="AD79" t="s">
        <v>1853</v>
      </c>
    </row>
    <row r="80" spans="1:30">
      <c r="A80" t="s">
        <v>1179</v>
      </c>
      <c r="B80" t="s">
        <v>150</v>
      </c>
      <c r="C80" t="s">
        <v>151</v>
      </c>
      <c r="D80" t="s">
        <v>82</v>
      </c>
      <c r="E80">
        <v>2022</v>
      </c>
      <c r="F80">
        <v>7161545</v>
      </c>
      <c r="G80">
        <v>1.46E-2</v>
      </c>
      <c r="H80">
        <v>104558.56</v>
      </c>
      <c r="I80" t="s">
        <v>1180</v>
      </c>
      <c r="J80" t="s">
        <v>1168</v>
      </c>
      <c r="K80" t="s">
        <v>1181</v>
      </c>
      <c r="L80">
        <v>6843981</v>
      </c>
      <c r="M80" s="8">
        <v>45441</v>
      </c>
      <c r="N80" t="s">
        <v>151</v>
      </c>
      <c r="O80">
        <v>1.46E-2</v>
      </c>
      <c r="P80">
        <v>1</v>
      </c>
      <c r="Q80" t="s">
        <v>1824</v>
      </c>
      <c r="R80" t="s">
        <v>1838</v>
      </c>
      <c r="S80" t="s">
        <v>1839</v>
      </c>
      <c r="T80" t="s">
        <v>1838</v>
      </c>
      <c r="U80" t="s">
        <v>1840</v>
      </c>
      <c r="V80" t="s">
        <v>1842</v>
      </c>
      <c r="W80" t="s">
        <v>1838</v>
      </c>
      <c r="X80" t="s">
        <v>1838</v>
      </c>
      <c r="Y80" t="s">
        <v>1841</v>
      </c>
      <c r="Z80">
        <v>4842179.1619999995</v>
      </c>
      <c r="AA80">
        <v>12553041.036323847</v>
      </c>
      <c r="AB80" t="s">
        <v>1850</v>
      </c>
      <c r="AC80" t="s">
        <v>1843</v>
      </c>
      <c r="AD80" t="s">
        <v>1853</v>
      </c>
    </row>
    <row r="81" spans="1:30">
      <c r="A81" t="s">
        <v>1188</v>
      </c>
      <c r="B81" t="s">
        <v>63</v>
      </c>
      <c r="C81" t="s">
        <v>102</v>
      </c>
      <c r="D81" t="s">
        <v>97</v>
      </c>
      <c r="E81">
        <v>2022</v>
      </c>
      <c r="F81">
        <v>2413074</v>
      </c>
      <c r="G81">
        <v>2.0500000000000001E-2</v>
      </c>
      <c r="H81">
        <v>49468.02</v>
      </c>
      <c r="I81" t="s">
        <v>1189</v>
      </c>
      <c r="J81" t="s">
        <v>1190</v>
      </c>
      <c r="K81" t="s">
        <v>1191</v>
      </c>
      <c r="L81">
        <v>2887660</v>
      </c>
      <c r="M81" s="8">
        <v>44670</v>
      </c>
      <c r="N81" t="s">
        <v>64</v>
      </c>
      <c r="O81">
        <v>2.0500000000000001E-2</v>
      </c>
      <c r="P81">
        <v>1</v>
      </c>
      <c r="Q81" t="s">
        <v>1821</v>
      </c>
      <c r="R81" t="s">
        <v>1838</v>
      </c>
      <c r="S81" t="s">
        <v>1845</v>
      </c>
      <c r="T81" t="s">
        <v>1838</v>
      </c>
      <c r="U81" t="s">
        <v>1840</v>
      </c>
      <c r="V81" t="s">
        <v>1838</v>
      </c>
      <c r="W81" t="s">
        <v>1838</v>
      </c>
      <c r="X81" t="s">
        <v>1838</v>
      </c>
      <c r="Y81" t="s">
        <v>1841</v>
      </c>
      <c r="Z81">
        <v>4842179.1619999995</v>
      </c>
      <c r="AA81">
        <v>12553041.036323847</v>
      </c>
      <c r="AB81" t="s">
        <v>1850</v>
      </c>
      <c r="AC81" t="s">
        <v>1843</v>
      </c>
      <c r="AD81" t="s">
        <v>1856</v>
      </c>
    </row>
    <row r="82" spans="1:30">
      <c r="A82" t="s">
        <v>1205</v>
      </c>
      <c r="B82" t="s">
        <v>56</v>
      </c>
      <c r="C82" t="s">
        <v>57</v>
      </c>
      <c r="D82" t="s">
        <v>82</v>
      </c>
      <c r="E82">
        <v>2021</v>
      </c>
      <c r="F82">
        <v>4576384</v>
      </c>
      <c r="G82">
        <v>1.47E-2</v>
      </c>
      <c r="H82">
        <v>67022.84</v>
      </c>
      <c r="I82" t="s">
        <v>1206</v>
      </c>
      <c r="J82" t="s">
        <v>1207</v>
      </c>
      <c r="K82" t="s">
        <v>1208</v>
      </c>
      <c r="L82">
        <v>4870331</v>
      </c>
      <c r="M82" s="8">
        <v>44823</v>
      </c>
      <c r="N82" t="s">
        <v>57</v>
      </c>
      <c r="O82">
        <v>1.47E-2</v>
      </c>
      <c r="P82">
        <v>1</v>
      </c>
      <c r="Q82" t="s">
        <v>1824</v>
      </c>
      <c r="R82" t="s">
        <v>1838</v>
      </c>
      <c r="S82" t="s">
        <v>1839</v>
      </c>
      <c r="T82" t="s">
        <v>1845</v>
      </c>
      <c r="U82" t="s">
        <v>1840</v>
      </c>
      <c r="V82" t="s">
        <v>1838</v>
      </c>
      <c r="W82" t="s">
        <v>1838</v>
      </c>
      <c r="X82" t="s">
        <v>1838</v>
      </c>
      <c r="Y82" t="s">
        <v>1841</v>
      </c>
      <c r="Z82">
        <v>4842179.1619999995</v>
      </c>
      <c r="AA82">
        <v>12553041.036323847</v>
      </c>
      <c r="AB82" t="s">
        <v>1850</v>
      </c>
      <c r="AC82" t="s">
        <v>1843</v>
      </c>
      <c r="AD82" t="s">
        <v>1857</v>
      </c>
    </row>
    <row r="83" spans="1:30">
      <c r="A83" t="s">
        <v>1225</v>
      </c>
      <c r="B83" t="s">
        <v>87</v>
      </c>
      <c r="C83" t="s">
        <v>88</v>
      </c>
      <c r="D83" t="s">
        <v>97</v>
      </c>
      <c r="E83">
        <v>2023</v>
      </c>
      <c r="F83">
        <v>3246808</v>
      </c>
      <c r="G83">
        <v>2.0500000000000001E-2</v>
      </c>
      <c r="H83">
        <v>66459.56</v>
      </c>
      <c r="I83" t="s">
        <v>1226</v>
      </c>
      <c r="J83" t="s">
        <v>1227</v>
      </c>
      <c r="K83" t="s">
        <v>1228</v>
      </c>
      <c r="L83">
        <v>3746290</v>
      </c>
      <c r="M83" s="8">
        <v>44346</v>
      </c>
      <c r="N83" t="s">
        <v>88</v>
      </c>
      <c r="O83">
        <v>2.0500000000000001E-2</v>
      </c>
      <c r="P83">
        <v>1</v>
      </c>
      <c r="Q83" t="s">
        <v>1821</v>
      </c>
      <c r="R83" t="s">
        <v>1838</v>
      </c>
      <c r="S83" t="s">
        <v>1839</v>
      </c>
      <c r="T83" t="s">
        <v>1845</v>
      </c>
      <c r="U83" t="s">
        <v>1840</v>
      </c>
      <c r="V83" t="s">
        <v>1838</v>
      </c>
      <c r="W83" t="s">
        <v>1838</v>
      </c>
      <c r="X83" t="s">
        <v>1838</v>
      </c>
      <c r="Y83" t="s">
        <v>1841</v>
      </c>
      <c r="Z83">
        <v>4842179.1619999995</v>
      </c>
      <c r="AA83">
        <v>12553041.036323847</v>
      </c>
      <c r="AB83" t="s">
        <v>1850</v>
      </c>
      <c r="AC83" t="s">
        <v>1843</v>
      </c>
      <c r="AD83" t="s">
        <v>1857</v>
      </c>
    </row>
    <row r="84" spans="1:30">
      <c r="A84" t="s">
        <v>1240</v>
      </c>
      <c r="B84" t="s">
        <v>63</v>
      </c>
      <c r="C84" t="s">
        <v>64</v>
      </c>
      <c r="D84" t="s">
        <v>58</v>
      </c>
      <c r="E84">
        <v>2022</v>
      </c>
      <c r="F84">
        <v>2192695</v>
      </c>
      <c r="G84">
        <v>9.4999999999999998E-3</v>
      </c>
      <c r="H84">
        <v>20580.599999999999</v>
      </c>
      <c r="I84" t="s">
        <v>1241</v>
      </c>
      <c r="J84" t="s">
        <v>1242</v>
      </c>
      <c r="K84" t="s">
        <v>504</v>
      </c>
      <c r="L84">
        <v>2146750</v>
      </c>
      <c r="M84" s="8">
        <v>45040</v>
      </c>
      <c r="N84" t="s">
        <v>64</v>
      </c>
      <c r="O84">
        <v>9.4999999999999998E-3</v>
      </c>
      <c r="P84">
        <v>1</v>
      </c>
      <c r="Q84" t="s">
        <v>1823</v>
      </c>
      <c r="R84" t="s">
        <v>1838</v>
      </c>
      <c r="S84" t="s">
        <v>1839</v>
      </c>
      <c r="T84" t="s">
        <v>1845</v>
      </c>
      <c r="U84" t="s">
        <v>1840</v>
      </c>
      <c r="V84" t="s">
        <v>1838</v>
      </c>
      <c r="W84" t="s">
        <v>1838</v>
      </c>
      <c r="X84" t="s">
        <v>1838</v>
      </c>
      <c r="Y84" t="s">
        <v>1841</v>
      </c>
      <c r="Z84">
        <v>4842179.1619999995</v>
      </c>
      <c r="AA84">
        <v>12553041.036323847</v>
      </c>
      <c r="AB84" t="s">
        <v>1850</v>
      </c>
      <c r="AC84" t="s">
        <v>1843</v>
      </c>
      <c r="AD84" t="s">
        <v>1857</v>
      </c>
    </row>
    <row r="85" spans="1:30">
      <c r="A85" t="s">
        <v>1261</v>
      </c>
      <c r="B85" t="s">
        <v>63</v>
      </c>
      <c r="C85" t="s">
        <v>64</v>
      </c>
      <c r="D85" t="s">
        <v>82</v>
      </c>
      <c r="E85">
        <v>2022</v>
      </c>
      <c r="F85">
        <v>45336710</v>
      </c>
      <c r="G85">
        <v>1.4800000000000001E-2</v>
      </c>
      <c r="H85">
        <v>670983.31000000006</v>
      </c>
      <c r="I85" t="s">
        <v>1262</v>
      </c>
      <c r="J85" t="s">
        <v>1263</v>
      </c>
      <c r="K85" t="s">
        <v>1264</v>
      </c>
      <c r="L85">
        <v>5162634</v>
      </c>
      <c r="M85" s="8">
        <v>45460</v>
      </c>
      <c r="N85" t="s">
        <v>64</v>
      </c>
      <c r="O85">
        <v>1.4800000000000001E-2</v>
      </c>
      <c r="P85">
        <v>1</v>
      </c>
      <c r="Q85" t="s">
        <v>1824</v>
      </c>
      <c r="R85" t="s">
        <v>1838</v>
      </c>
      <c r="S85" t="s">
        <v>1839</v>
      </c>
      <c r="T85" t="s">
        <v>1838</v>
      </c>
      <c r="U85" t="s">
        <v>1840</v>
      </c>
      <c r="V85" t="s">
        <v>1838</v>
      </c>
      <c r="W85" t="s">
        <v>1838</v>
      </c>
      <c r="X85" t="s">
        <v>1838</v>
      </c>
      <c r="Y85" t="s">
        <v>1841</v>
      </c>
      <c r="Z85">
        <v>4842179.1619999995</v>
      </c>
      <c r="AA85">
        <v>12553041.036323847</v>
      </c>
      <c r="AB85" t="s">
        <v>1851</v>
      </c>
      <c r="AC85" t="s">
        <v>1843</v>
      </c>
      <c r="AD85" t="s">
        <v>1859</v>
      </c>
    </row>
    <row r="86" spans="1:30">
      <c r="A86" t="s">
        <v>1311</v>
      </c>
      <c r="B86" t="s">
        <v>150</v>
      </c>
      <c r="C86" t="s">
        <v>151</v>
      </c>
      <c r="D86" t="s">
        <v>58</v>
      </c>
      <c r="E86">
        <v>2024</v>
      </c>
      <c r="F86">
        <v>1616946</v>
      </c>
      <c r="G86">
        <v>9.2999999999999992E-3</v>
      </c>
      <c r="H86">
        <v>14787.6</v>
      </c>
      <c r="I86" t="s">
        <v>1312</v>
      </c>
      <c r="J86" t="s">
        <v>1313</v>
      </c>
      <c r="K86" t="s">
        <v>1314</v>
      </c>
      <c r="L86">
        <v>1805353</v>
      </c>
      <c r="M86" s="8">
        <v>44526</v>
      </c>
      <c r="N86" t="s">
        <v>151</v>
      </c>
      <c r="O86">
        <v>9.2999999999999992E-3</v>
      </c>
      <c r="P86">
        <v>1</v>
      </c>
      <c r="Q86" t="s">
        <v>1823</v>
      </c>
      <c r="R86" t="s">
        <v>1838</v>
      </c>
      <c r="S86" t="s">
        <v>1839</v>
      </c>
      <c r="T86" t="s">
        <v>1845</v>
      </c>
      <c r="U86" t="s">
        <v>1840</v>
      </c>
      <c r="V86" t="s">
        <v>1838</v>
      </c>
      <c r="W86" t="s">
        <v>1838</v>
      </c>
      <c r="X86" t="s">
        <v>1838</v>
      </c>
      <c r="Y86" t="s">
        <v>1841</v>
      </c>
      <c r="Z86">
        <v>4842179.1619999995</v>
      </c>
      <c r="AA86">
        <v>12553041.036323847</v>
      </c>
      <c r="AB86" t="s">
        <v>1850</v>
      </c>
      <c r="AC86" t="s">
        <v>1843</v>
      </c>
      <c r="AD86" t="s">
        <v>1857</v>
      </c>
    </row>
    <row r="87" spans="1:30">
      <c r="A87" t="s">
        <v>1375</v>
      </c>
      <c r="B87" t="s">
        <v>150</v>
      </c>
      <c r="C87" t="s">
        <v>151</v>
      </c>
      <c r="D87" t="s">
        <v>58</v>
      </c>
      <c r="E87">
        <v>2024</v>
      </c>
      <c r="F87">
        <v>4062571</v>
      </c>
      <c r="G87">
        <v>9.2999999999999992E-3</v>
      </c>
      <c r="H87">
        <v>37861.910000000003</v>
      </c>
      <c r="I87" t="s">
        <v>1376</v>
      </c>
      <c r="J87" t="s">
        <v>1377</v>
      </c>
      <c r="K87" t="s">
        <v>291</v>
      </c>
      <c r="L87">
        <v>5038504</v>
      </c>
      <c r="M87" s="8">
        <v>44980</v>
      </c>
      <c r="N87" t="s">
        <v>151</v>
      </c>
      <c r="O87">
        <v>9.2999999999999992E-3</v>
      </c>
      <c r="P87">
        <v>1</v>
      </c>
      <c r="Q87" t="s">
        <v>1823</v>
      </c>
      <c r="R87" t="s">
        <v>1838</v>
      </c>
      <c r="S87" t="s">
        <v>1839</v>
      </c>
      <c r="T87" t="s">
        <v>1845</v>
      </c>
      <c r="U87" t="s">
        <v>1840</v>
      </c>
      <c r="V87" t="s">
        <v>1838</v>
      </c>
      <c r="W87" t="s">
        <v>1838</v>
      </c>
      <c r="X87" t="s">
        <v>1838</v>
      </c>
      <c r="Y87" t="s">
        <v>1841</v>
      </c>
      <c r="Z87">
        <v>4842179.1619999995</v>
      </c>
      <c r="AA87">
        <v>12553041.036323847</v>
      </c>
      <c r="AB87" t="s">
        <v>1850</v>
      </c>
      <c r="AC87" t="s">
        <v>1843</v>
      </c>
      <c r="AD87" t="s">
        <v>1857</v>
      </c>
    </row>
    <row r="88" spans="1:30">
      <c r="A88" t="s">
        <v>1381</v>
      </c>
      <c r="B88" t="s">
        <v>56</v>
      </c>
      <c r="C88" t="s">
        <v>57</v>
      </c>
      <c r="D88" t="s">
        <v>51</v>
      </c>
      <c r="E88">
        <v>2021</v>
      </c>
      <c r="F88">
        <v>1400657</v>
      </c>
      <c r="G88">
        <v>1.24E-2</v>
      </c>
      <c r="H88">
        <v>17368.150000000001</v>
      </c>
      <c r="I88" t="s">
        <v>1382</v>
      </c>
      <c r="J88" t="s">
        <v>1383</v>
      </c>
      <c r="K88" t="s">
        <v>1101</v>
      </c>
      <c r="L88">
        <v>1606723</v>
      </c>
      <c r="M88" s="8">
        <v>46748</v>
      </c>
      <c r="N88" t="s">
        <v>57</v>
      </c>
      <c r="O88">
        <v>1.24E-2</v>
      </c>
      <c r="P88">
        <v>1</v>
      </c>
      <c r="Q88" t="s">
        <v>1820</v>
      </c>
      <c r="R88" t="s">
        <v>1838</v>
      </c>
      <c r="S88" t="s">
        <v>1839</v>
      </c>
      <c r="T88" t="s">
        <v>1838</v>
      </c>
      <c r="U88" t="s">
        <v>1840</v>
      </c>
      <c r="V88" t="s">
        <v>1838</v>
      </c>
      <c r="W88" t="s">
        <v>1838</v>
      </c>
      <c r="X88" t="s">
        <v>1842</v>
      </c>
      <c r="Y88" t="s">
        <v>1841</v>
      </c>
      <c r="Z88">
        <v>4842179.1619999995</v>
      </c>
      <c r="AA88">
        <v>12553041.036323847</v>
      </c>
      <c r="AB88" t="s">
        <v>1850</v>
      </c>
      <c r="AC88" t="s">
        <v>1843</v>
      </c>
      <c r="AD88" t="s">
        <v>1855</v>
      </c>
    </row>
    <row r="89" spans="1:30">
      <c r="A89" t="s">
        <v>1388</v>
      </c>
      <c r="B89" t="s">
        <v>87</v>
      </c>
      <c r="C89" t="s">
        <v>88</v>
      </c>
      <c r="D89" t="s">
        <v>71</v>
      </c>
      <c r="E89">
        <v>2023</v>
      </c>
      <c r="F89">
        <v>3743538</v>
      </c>
      <c r="G89">
        <v>1.8499999999999999E-2</v>
      </c>
      <c r="H89">
        <v>69255.45</v>
      </c>
      <c r="I89" t="s">
        <v>1389</v>
      </c>
      <c r="J89" t="s">
        <v>550</v>
      </c>
      <c r="K89" t="s">
        <v>1390</v>
      </c>
      <c r="L89">
        <v>3829431</v>
      </c>
      <c r="M89" s="8">
        <v>45185</v>
      </c>
      <c r="N89" t="s">
        <v>88</v>
      </c>
      <c r="O89">
        <v>1.8499999999999999E-2</v>
      </c>
      <c r="P89">
        <v>1</v>
      </c>
      <c r="Q89" t="s">
        <v>1822</v>
      </c>
      <c r="R89" t="s">
        <v>1838</v>
      </c>
      <c r="S89" t="s">
        <v>1839</v>
      </c>
      <c r="T89" t="s">
        <v>1838</v>
      </c>
      <c r="U89" t="s">
        <v>1840</v>
      </c>
      <c r="V89" t="s">
        <v>1842</v>
      </c>
      <c r="W89" t="s">
        <v>1838</v>
      </c>
      <c r="X89" t="s">
        <v>1838</v>
      </c>
      <c r="Y89" t="s">
        <v>1841</v>
      </c>
      <c r="Z89">
        <v>4842179.1619999995</v>
      </c>
      <c r="AA89">
        <v>12553041.036323847</v>
      </c>
      <c r="AB89" t="s">
        <v>1850</v>
      </c>
      <c r="AC89" t="s">
        <v>1843</v>
      </c>
      <c r="AD89" t="s">
        <v>1853</v>
      </c>
    </row>
    <row r="90" spans="1:30">
      <c r="A90" t="s">
        <v>1391</v>
      </c>
      <c r="B90" t="s">
        <v>76</v>
      </c>
      <c r="C90" t="s">
        <v>77</v>
      </c>
      <c r="D90" t="s">
        <v>97</v>
      </c>
      <c r="E90">
        <v>2022</v>
      </c>
      <c r="F90">
        <v>3123006</v>
      </c>
      <c r="G90">
        <v>2.0400000000000001E-2</v>
      </c>
      <c r="H90">
        <v>63709.32</v>
      </c>
      <c r="I90" t="s">
        <v>1392</v>
      </c>
      <c r="J90" t="s">
        <v>1393</v>
      </c>
      <c r="K90" t="s">
        <v>1027</v>
      </c>
      <c r="L90">
        <v>2833006</v>
      </c>
      <c r="M90" s="8">
        <v>46729</v>
      </c>
      <c r="N90" t="s">
        <v>77</v>
      </c>
      <c r="O90">
        <v>2.0400000000000001E-2</v>
      </c>
      <c r="P90">
        <v>1</v>
      </c>
      <c r="Q90" t="s">
        <v>1821</v>
      </c>
      <c r="R90" t="s">
        <v>1838</v>
      </c>
      <c r="S90" t="s">
        <v>1839</v>
      </c>
      <c r="T90" t="s">
        <v>1838</v>
      </c>
      <c r="U90" t="s">
        <v>1840</v>
      </c>
      <c r="V90" t="s">
        <v>1838</v>
      </c>
      <c r="W90" t="s">
        <v>1838</v>
      </c>
      <c r="X90" t="s">
        <v>1842</v>
      </c>
      <c r="Y90" t="s">
        <v>1841</v>
      </c>
      <c r="Z90">
        <v>4842179.1619999995</v>
      </c>
      <c r="AA90">
        <v>12553041.036323847</v>
      </c>
      <c r="AB90" t="s">
        <v>1850</v>
      </c>
      <c r="AC90" t="s">
        <v>1843</v>
      </c>
      <c r="AD90" t="s">
        <v>1855</v>
      </c>
    </row>
    <row r="91" spans="1:30">
      <c r="A91" t="s">
        <v>1394</v>
      </c>
      <c r="B91" t="s">
        <v>87</v>
      </c>
      <c r="C91" t="s">
        <v>88</v>
      </c>
      <c r="D91" t="s">
        <v>51</v>
      </c>
      <c r="E91">
        <v>2023</v>
      </c>
      <c r="F91">
        <v>686886</v>
      </c>
      <c r="G91">
        <v>1.2500000000000001E-2</v>
      </c>
      <c r="H91">
        <v>8586.08</v>
      </c>
      <c r="I91" t="s">
        <v>1395</v>
      </c>
      <c r="J91" t="s">
        <v>1396</v>
      </c>
      <c r="K91" t="s">
        <v>1397</v>
      </c>
      <c r="L91">
        <v>851258</v>
      </c>
      <c r="M91" s="8">
        <v>46510</v>
      </c>
      <c r="N91" t="s">
        <v>88</v>
      </c>
      <c r="O91">
        <v>1.2500000000000001E-2</v>
      </c>
      <c r="P91">
        <v>1</v>
      </c>
      <c r="Q91" t="s">
        <v>1820</v>
      </c>
      <c r="R91" t="s">
        <v>1838</v>
      </c>
      <c r="S91" t="s">
        <v>1839</v>
      </c>
      <c r="T91" t="s">
        <v>1838</v>
      </c>
      <c r="U91" t="s">
        <v>1840</v>
      </c>
      <c r="V91" t="s">
        <v>1838</v>
      </c>
      <c r="W91" t="s">
        <v>1838</v>
      </c>
      <c r="X91" t="s">
        <v>1842</v>
      </c>
      <c r="Y91" t="s">
        <v>1841</v>
      </c>
      <c r="Z91">
        <v>4842179.1619999995</v>
      </c>
      <c r="AA91">
        <v>12553041.036323847</v>
      </c>
      <c r="AB91" t="s">
        <v>1850</v>
      </c>
      <c r="AC91" t="s">
        <v>1843</v>
      </c>
      <c r="AD91" t="s">
        <v>1855</v>
      </c>
    </row>
    <row r="92" spans="1:30">
      <c r="A92" t="s">
        <v>1408</v>
      </c>
      <c r="B92" t="s">
        <v>137</v>
      </c>
      <c r="C92" t="s">
        <v>138</v>
      </c>
      <c r="D92" t="s">
        <v>71</v>
      </c>
      <c r="E92">
        <v>2022</v>
      </c>
      <c r="F92">
        <v>30046366</v>
      </c>
      <c r="G92">
        <v>1.8700000000000001E-2</v>
      </c>
      <c r="H92">
        <v>62892.959999999999</v>
      </c>
      <c r="I92" t="s">
        <v>1409</v>
      </c>
      <c r="J92" t="s">
        <v>1410</v>
      </c>
      <c r="K92" t="s">
        <v>1411</v>
      </c>
      <c r="L92">
        <v>3214521</v>
      </c>
      <c r="M92" s="8">
        <v>44024</v>
      </c>
      <c r="N92" t="s">
        <v>138</v>
      </c>
      <c r="O92">
        <v>1.8700000000000001E-2</v>
      </c>
      <c r="P92">
        <v>1</v>
      </c>
      <c r="Q92" t="s">
        <v>1822</v>
      </c>
      <c r="R92" t="s">
        <v>1838</v>
      </c>
      <c r="S92" t="s">
        <v>1839</v>
      </c>
      <c r="T92" t="s">
        <v>1845</v>
      </c>
      <c r="U92" t="s">
        <v>1840</v>
      </c>
      <c r="V92" t="s">
        <v>1838</v>
      </c>
      <c r="W92" t="s">
        <v>1838</v>
      </c>
      <c r="X92" t="s">
        <v>1838</v>
      </c>
      <c r="Y92" t="s">
        <v>1841</v>
      </c>
      <c r="Z92">
        <v>4842179.1619999995</v>
      </c>
      <c r="AA92">
        <v>12553041.036323847</v>
      </c>
      <c r="AB92" t="s">
        <v>1850</v>
      </c>
      <c r="AC92" t="s">
        <v>1843</v>
      </c>
      <c r="AD92" t="s">
        <v>1857</v>
      </c>
    </row>
    <row r="93" spans="1:30">
      <c r="A93" t="s">
        <v>1509</v>
      </c>
      <c r="B93" t="s">
        <v>69</v>
      </c>
      <c r="C93" t="s">
        <v>70</v>
      </c>
      <c r="D93" t="s">
        <v>58</v>
      </c>
      <c r="E93">
        <v>2023</v>
      </c>
      <c r="F93">
        <v>15704596</v>
      </c>
      <c r="G93">
        <v>9.5999999999999992E-3</v>
      </c>
      <c r="H93">
        <v>10311.969999999999</v>
      </c>
      <c r="I93" t="s">
        <v>1510</v>
      </c>
      <c r="J93" t="s">
        <v>1511</v>
      </c>
      <c r="K93" t="s">
        <v>1512</v>
      </c>
      <c r="L93">
        <v>1051973</v>
      </c>
      <c r="M93" s="8">
        <v>44981</v>
      </c>
      <c r="N93" t="s">
        <v>70</v>
      </c>
      <c r="O93">
        <v>9.5999999999999992E-3</v>
      </c>
      <c r="P93">
        <v>1</v>
      </c>
      <c r="Q93" t="s">
        <v>1823</v>
      </c>
      <c r="R93" t="s">
        <v>1838</v>
      </c>
      <c r="S93" t="s">
        <v>1839</v>
      </c>
      <c r="T93" t="s">
        <v>1845</v>
      </c>
      <c r="U93" t="s">
        <v>1840</v>
      </c>
      <c r="V93" t="s">
        <v>1838</v>
      </c>
      <c r="W93" t="s">
        <v>1838</v>
      </c>
      <c r="X93" t="s">
        <v>1838</v>
      </c>
      <c r="Y93" t="s">
        <v>1841</v>
      </c>
      <c r="Z93">
        <v>4842179.1619999995</v>
      </c>
      <c r="AA93">
        <v>12553041.036323847</v>
      </c>
      <c r="AB93" t="s">
        <v>1850</v>
      </c>
      <c r="AC93" t="s">
        <v>1843</v>
      </c>
      <c r="AD93" t="s">
        <v>1857</v>
      </c>
    </row>
    <row r="94" spans="1:30">
      <c r="A94" t="s">
        <v>1539</v>
      </c>
      <c r="B94" t="s">
        <v>602</v>
      </c>
      <c r="C94" t="s">
        <v>64</v>
      </c>
      <c r="D94" t="s">
        <v>82</v>
      </c>
      <c r="E94">
        <v>2022</v>
      </c>
      <c r="F94">
        <v>5546064</v>
      </c>
      <c r="G94">
        <v>1.47E-2</v>
      </c>
      <c r="H94">
        <v>81527.14</v>
      </c>
      <c r="I94" t="s">
        <v>1540</v>
      </c>
      <c r="J94" t="s">
        <v>1541</v>
      </c>
      <c r="K94" t="s">
        <v>896</v>
      </c>
      <c r="L94">
        <v>5817778</v>
      </c>
      <c r="M94" s="8">
        <v>45153</v>
      </c>
      <c r="P94">
        <v>1</v>
      </c>
      <c r="Q94" t="s">
        <v>1824</v>
      </c>
      <c r="R94" t="s">
        <v>1842</v>
      </c>
      <c r="S94" t="s">
        <v>1845</v>
      </c>
      <c r="T94" t="s">
        <v>1845</v>
      </c>
      <c r="U94" t="s">
        <v>1840</v>
      </c>
      <c r="V94" t="s">
        <v>1838</v>
      </c>
      <c r="W94" t="s">
        <v>1838</v>
      </c>
      <c r="X94" t="s">
        <v>1838</v>
      </c>
      <c r="Y94" t="s">
        <v>1841</v>
      </c>
      <c r="Z94">
        <v>4842179.1619999995</v>
      </c>
      <c r="AA94">
        <v>12553041.036323847</v>
      </c>
      <c r="AB94" t="s">
        <v>1850</v>
      </c>
      <c r="AC94" t="s">
        <v>1843</v>
      </c>
      <c r="AD94" t="s">
        <v>1860</v>
      </c>
    </row>
    <row r="95" spans="1:30">
      <c r="A95" t="s">
        <v>1592</v>
      </c>
      <c r="B95" t="s">
        <v>49</v>
      </c>
      <c r="C95" t="s">
        <v>50</v>
      </c>
      <c r="D95" t="s">
        <v>82</v>
      </c>
      <c r="E95">
        <v>2022</v>
      </c>
      <c r="F95">
        <v>185450623</v>
      </c>
      <c r="G95">
        <v>1.44E-2</v>
      </c>
      <c r="H95">
        <v>2670488.9700000002</v>
      </c>
      <c r="I95" t="s">
        <v>1593</v>
      </c>
      <c r="J95" t="s">
        <v>1594</v>
      </c>
      <c r="K95" t="s">
        <v>346</v>
      </c>
      <c r="L95">
        <v>11482221</v>
      </c>
      <c r="M95" s="8">
        <v>43678</v>
      </c>
      <c r="N95" t="s">
        <v>50</v>
      </c>
      <c r="O95">
        <v>1.44E-2</v>
      </c>
      <c r="P95">
        <v>1</v>
      </c>
      <c r="Q95" t="s">
        <v>1824</v>
      </c>
      <c r="R95" t="s">
        <v>1838</v>
      </c>
      <c r="S95" t="s">
        <v>1839</v>
      </c>
      <c r="T95" t="s">
        <v>1838</v>
      </c>
      <c r="U95" t="s">
        <v>1840</v>
      </c>
      <c r="V95" t="s">
        <v>1838</v>
      </c>
      <c r="W95" t="s">
        <v>1838</v>
      </c>
      <c r="X95" t="s">
        <v>1838</v>
      </c>
      <c r="Y95" t="s">
        <v>1841</v>
      </c>
      <c r="Z95">
        <v>4842179.1619999995</v>
      </c>
      <c r="AA95">
        <v>12553041.036323847</v>
      </c>
      <c r="AB95" t="s">
        <v>1851</v>
      </c>
      <c r="AC95" t="s">
        <v>1843</v>
      </c>
      <c r="AD95" t="s">
        <v>1859</v>
      </c>
    </row>
    <row r="96" spans="1:30">
      <c r="A96" t="s">
        <v>1599</v>
      </c>
      <c r="B96" t="s">
        <v>87</v>
      </c>
      <c r="C96" t="s">
        <v>84</v>
      </c>
      <c r="D96" t="s">
        <v>51</v>
      </c>
      <c r="E96">
        <v>2022</v>
      </c>
      <c r="F96">
        <v>1347444</v>
      </c>
      <c r="G96">
        <v>1.2500000000000001E-2</v>
      </c>
      <c r="H96">
        <v>16843.05</v>
      </c>
      <c r="I96" t="s">
        <v>1600</v>
      </c>
      <c r="J96" t="s">
        <v>1601</v>
      </c>
      <c r="K96" t="s">
        <v>1602</v>
      </c>
      <c r="L96">
        <v>1609088</v>
      </c>
      <c r="M96" s="8">
        <v>44478</v>
      </c>
      <c r="N96" t="s">
        <v>88</v>
      </c>
      <c r="O96">
        <v>1.2500000000000001E-2</v>
      </c>
      <c r="P96">
        <v>1</v>
      </c>
      <c r="Q96" t="s">
        <v>1820</v>
      </c>
      <c r="R96" t="s">
        <v>1838</v>
      </c>
      <c r="S96" t="s">
        <v>1845</v>
      </c>
      <c r="T96" t="s">
        <v>1838</v>
      </c>
      <c r="U96" t="s">
        <v>1840</v>
      </c>
      <c r="V96" t="s">
        <v>1838</v>
      </c>
      <c r="W96" t="s">
        <v>1838</v>
      </c>
      <c r="X96" t="s">
        <v>1838</v>
      </c>
      <c r="Y96" t="s">
        <v>1841</v>
      </c>
      <c r="Z96">
        <v>4842179.1619999995</v>
      </c>
      <c r="AA96">
        <v>12553041.036323847</v>
      </c>
      <c r="AB96" t="s">
        <v>1850</v>
      </c>
      <c r="AC96" t="s">
        <v>1843</v>
      </c>
      <c r="AD96" t="s">
        <v>1856</v>
      </c>
    </row>
    <row r="97" spans="1:30">
      <c r="A97" t="s">
        <v>1605</v>
      </c>
      <c r="B97" t="s">
        <v>678</v>
      </c>
      <c r="C97" t="s">
        <v>50</v>
      </c>
      <c r="D97" t="s">
        <v>97</v>
      </c>
      <c r="E97">
        <v>2021</v>
      </c>
      <c r="F97">
        <v>4620726</v>
      </c>
      <c r="G97">
        <v>2.01E-2</v>
      </c>
      <c r="H97">
        <v>92876.59</v>
      </c>
      <c r="I97" t="s">
        <v>1606</v>
      </c>
      <c r="J97" t="s">
        <v>1607</v>
      </c>
      <c r="K97" t="s">
        <v>802</v>
      </c>
      <c r="L97">
        <v>5156988</v>
      </c>
      <c r="M97" s="8">
        <v>45149</v>
      </c>
      <c r="P97">
        <v>1</v>
      </c>
      <c r="Q97" t="s">
        <v>1821</v>
      </c>
      <c r="R97" t="s">
        <v>1842</v>
      </c>
      <c r="S97" t="s">
        <v>1845</v>
      </c>
      <c r="T97" t="s">
        <v>1845</v>
      </c>
      <c r="U97" t="s">
        <v>1840</v>
      </c>
      <c r="V97" t="s">
        <v>1838</v>
      </c>
      <c r="W97" t="s">
        <v>1838</v>
      </c>
      <c r="X97" t="s">
        <v>1838</v>
      </c>
      <c r="Y97" t="s">
        <v>1841</v>
      </c>
      <c r="Z97">
        <v>4842179.1619999995</v>
      </c>
      <c r="AA97">
        <v>12553041.036323847</v>
      </c>
      <c r="AB97" t="s">
        <v>1850</v>
      </c>
      <c r="AC97" t="s">
        <v>1843</v>
      </c>
      <c r="AD97" t="s">
        <v>1860</v>
      </c>
    </row>
    <row r="98" spans="1:30">
      <c r="A98" t="s">
        <v>1608</v>
      </c>
      <c r="B98" t="s">
        <v>613</v>
      </c>
      <c r="C98" t="s">
        <v>50</v>
      </c>
      <c r="D98" t="s">
        <v>82</v>
      </c>
      <c r="E98">
        <v>2021</v>
      </c>
      <c r="F98">
        <v>6576664</v>
      </c>
      <c r="G98">
        <v>1.47E-2</v>
      </c>
      <c r="H98">
        <v>96676.96</v>
      </c>
      <c r="I98" t="s">
        <v>1609</v>
      </c>
      <c r="J98" t="s">
        <v>1610</v>
      </c>
      <c r="K98" t="s">
        <v>642</v>
      </c>
      <c r="L98">
        <v>7288991</v>
      </c>
      <c r="M98" s="8">
        <v>43742</v>
      </c>
      <c r="P98">
        <v>1</v>
      </c>
      <c r="Q98" t="s">
        <v>1824</v>
      </c>
      <c r="R98" t="s">
        <v>1842</v>
      </c>
      <c r="S98" t="s">
        <v>1845</v>
      </c>
      <c r="T98" t="s">
        <v>1845</v>
      </c>
      <c r="U98" t="s">
        <v>1840</v>
      </c>
      <c r="V98" t="s">
        <v>1838</v>
      </c>
      <c r="W98" t="s">
        <v>1838</v>
      </c>
      <c r="X98" t="s">
        <v>1838</v>
      </c>
      <c r="Y98" t="s">
        <v>1841</v>
      </c>
      <c r="Z98">
        <v>4842179.1619999995</v>
      </c>
      <c r="AA98">
        <v>12553041.036323847</v>
      </c>
      <c r="AB98" t="s">
        <v>1850</v>
      </c>
      <c r="AC98" t="s">
        <v>1843</v>
      </c>
      <c r="AD98" t="s">
        <v>1860</v>
      </c>
    </row>
    <row r="99" spans="1:30">
      <c r="A99" t="s">
        <v>1618</v>
      </c>
      <c r="B99" t="s">
        <v>613</v>
      </c>
      <c r="C99" t="s">
        <v>64</v>
      </c>
      <c r="D99" t="s">
        <v>97</v>
      </c>
      <c r="E99">
        <v>2021</v>
      </c>
      <c r="F99">
        <v>2064686</v>
      </c>
      <c r="G99">
        <v>2.0400000000000001E-2</v>
      </c>
      <c r="H99">
        <v>42119.59</v>
      </c>
      <c r="I99" t="s">
        <v>1619</v>
      </c>
      <c r="J99" t="s">
        <v>1620</v>
      </c>
      <c r="K99" t="s">
        <v>362</v>
      </c>
      <c r="L99">
        <v>2016769</v>
      </c>
      <c r="M99" s="8">
        <v>43481</v>
      </c>
      <c r="P99">
        <v>1</v>
      </c>
      <c r="Q99" t="s">
        <v>1821</v>
      </c>
      <c r="R99" t="s">
        <v>1842</v>
      </c>
      <c r="S99" t="s">
        <v>1845</v>
      </c>
      <c r="T99" t="s">
        <v>1845</v>
      </c>
      <c r="U99" t="s">
        <v>1840</v>
      </c>
      <c r="V99" t="s">
        <v>1838</v>
      </c>
      <c r="W99" t="s">
        <v>1838</v>
      </c>
      <c r="X99" t="s">
        <v>1838</v>
      </c>
      <c r="Y99" t="s">
        <v>1841</v>
      </c>
      <c r="Z99">
        <v>4842179.1619999995</v>
      </c>
      <c r="AA99">
        <v>12553041.036323847</v>
      </c>
      <c r="AB99" t="s">
        <v>1850</v>
      </c>
      <c r="AC99" t="s">
        <v>1843</v>
      </c>
      <c r="AD99" t="s">
        <v>1860</v>
      </c>
    </row>
    <row r="100" spans="1:30">
      <c r="A100" t="s">
        <v>1631</v>
      </c>
      <c r="B100" t="s">
        <v>150</v>
      </c>
      <c r="C100" t="s">
        <v>151</v>
      </c>
      <c r="D100" t="s">
        <v>71</v>
      </c>
      <c r="E100">
        <v>2024</v>
      </c>
      <c r="F100">
        <v>10480391</v>
      </c>
      <c r="G100">
        <v>1.83E-2</v>
      </c>
      <c r="H100">
        <v>191791.16</v>
      </c>
      <c r="I100" t="s">
        <v>1632</v>
      </c>
      <c r="J100" t="s">
        <v>1633</v>
      </c>
      <c r="K100" t="s">
        <v>1253</v>
      </c>
      <c r="L100">
        <v>12984518</v>
      </c>
      <c r="M100" s="8">
        <v>46643</v>
      </c>
      <c r="N100" t="s">
        <v>151</v>
      </c>
      <c r="O100">
        <v>1.83E-2</v>
      </c>
      <c r="P100">
        <v>1</v>
      </c>
      <c r="Q100" t="s">
        <v>1822</v>
      </c>
      <c r="R100" t="s">
        <v>1838</v>
      </c>
      <c r="S100" t="s">
        <v>1839</v>
      </c>
      <c r="T100" t="s">
        <v>1838</v>
      </c>
      <c r="U100" t="s">
        <v>1840</v>
      </c>
      <c r="V100" t="s">
        <v>1838</v>
      </c>
      <c r="W100" t="s">
        <v>1838</v>
      </c>
      <c r="X100" t="s">
        <v>1842</v>
      </c>
      <c r="Y100" t="s">
        <v>1841</v>
      </c>
      <c r="Z100">
        <v>4842179.1619999995</v>
      </c>
      <c r="AA100">
        <v>12553041.036323847</v>
      </c>
      <c r="AB100" t="s">
        <v>1850</v>
      </c>
      <c r="AC100" t="s">
        <v>1843</v>
      </c>
      <c r="AD100" t="s">
        <v>1855</v>
      </c>
    </row>
    <row r="101" spans="1:30">
      <c r="A101" t="s">
        <v>1634</v>
      </c>
      <c r="B101" t="s">
        <v>76</v>
      </c>
      <c r="C101" t="s">
        <v>77</v>
      </c>
      <c r="D101" t="s">
        <v>51</v>
      </c>
      <c r="E101">
        <v>2024</v>
      </c>
      <c r="F101">
        <v>1028762</v>
      </c>
      <c r="G101">
        <v>1.24E-2</v>
      </c>
      <c r="H101">
        <v>12756.65</v>
      </c>
      <c r="I101" t="s">
        <v>1635</v>
      </c>
      <c r="J101" t="s">
        <v>583</v>
      </c>
      <c r="K101" t="s">
        <v>1636</v>
      </c>
      <c r="L101">
        <v>1175956</v>
      </c>
      <c r="M101" s="8">
        <v>45662</v>
      </c>
      <c r="N101" t="s">
        <v>77</v>
      </c>
      <c r="O101">
        <v>1.24E-2</v>
      </c>
      <c r="P101">
        <v>1</v>
      </c>
      <c r="Q101" t="s">
        <v>1820</v>
      </c>
      <c r="R101" t="s">
        <v>1838</v>
      </c>
      <c r="S101" t="s">
        <v>1839</v>
      </c>
      <c r="T101" t="s">
        <v>1838</v>
      </c>
      <c r="U101" t="s">
        <v>1840</v>
      </c>
      <c r="V101" t="s">
        <v>1842</v>
      </c>
      <c r="W101" t="s">
        <v>1838</v>
      </c>
      <c r="X101" t="s">
        <v>1838</v>
      </c>
      <c r="Y101" t="s">
        <v>1841</v>
      </c>
      <c r="Z101">
        <v>4842179.1619999995</v>
      </c>
      <c r="AA101">
        <v>12553041.036323847</v>
      </c>
      <c r="AB101" t="s">
        <v>1850</v>
      </c>
      <c r="AC101" t="s">
        <v>1843</v>
      </c>
      <c r="AD101" t="s">
        <v>1853</v>
      </c>
    </row>
    <row r="102" spans="1:30">
      <c r="A102" t="s">
        <v>1640</v>
      </c>
      <c r="B102" t="s">
        <v>150</v>
      </c>
      <c r="C102" t="s">
        <v>151</v>
      </c>
      <c r="D102" t="s">
        <v>71</v>
      </c>
      <c r="E102">
        <v>2021</v>
      </c>
      <c r="F102">
        <v>2595382</v>
      </c>
      <c r="G102">
        <v>1.83E-2</v>
      </c>
      <c r="H102">
        <v>47495.49</v>
      </c>
      <c r="I102" t="s">
        <v>1641</v>
      </c>
      <c r="J102" t="s">
        <v>1642</v>
      </c>
      <c r="K102" t="s">
        <v>1643</v>
      </c>
      <c r="L102">
        <v>2669686</v>
      </c>
      <c r="M102" s="8">
        <v>46470</v>
      </c>
      <c r="N102" t="s">
        <v>151</v>
      </c>
      <c r="O102">
        <v>1.83E-2</v>
      </c>
      <c r="P102">
        <v>1</v>
      </c>
      <c r="Q102" t="s">
        <v>1822</v>
      </c>
      <c r="R102" t="s">
        <v>1838</v>
      </c>
      <c r="S102" t="s">
        <v>1839</v>
      </c>
      <c r="T102" t="s">
        <v>1838</v>
      </c>
      <c r="U102" t="s">
        <v>1840</v>
      </c>
      <c r="V102" t="s">
        <v>1838</v>
      </c>
      <c r="W102" t="s">
        <v>1838</v>
      </c>
      <c r="X102" t="s">
        <v>1842</v>
      </c>
      <c r="Y102" t="s">
        <v>1841</v>
      </c>
      <c r="Z102">
        <v>4842179.1619999995</v>
      </c>
      <c r="AA102">
        <v>12553041.036323847</v>
      </c>
      <c r="AB102" t="s">
        <v>1850</v>
      </c>
      <c r="AC102" t="s">
        <v>1843</v>
      </c>
      <c r="AD102" t="s">
        <v>1855</v>
      </c>
    </row>
    <row r="103" spans="1:30">
      <c r="A103" t="s">
        <v>1656</v>
      </c>
      <c r="B103" t="s">
        <v>678</v>
      </c>
      <c r="C103" t="s">
        <v>64</v>
      </c>
      <c r="D103" t="s">
        <v>71</v>
      </c>
      <c r="E103">
        <v>2023</v>
      </c>
      <c r="F103">
        <v>5562868</v>
      </c>
      <c r="G103">
        <v>1.84E-2</v>
      </c>
      <c r="H103">
        <v>102356.77</v>
      </c>
      <c r="I103" t="s">
        <v>1657</v>
      </c>
      <c r="J103" t="s">
        <v>1658</v>
      </c>
      <c r="K103" t="s">
        <v>508</v>
      </c>
      <c r="L103">
        <v>5646837</v>
      </c>
      <c r="M103" s="8">
        <v>44755</v>
      </c>
      <c r="P103">
        <v>1</v>
      </c>
      <c r="Q103" t="s">
        <v>1822</v>
      </c>
      <c r="R103" t="s">
        <v>1842</v>
      </c>
      <c r="S103" t="s">
        <v>1845</v>
      </c>
      <c r="T103" t="s">
        <v>1845</v>
      </c>
      <c r="U103" t="s">
        <v>1840</v>
      </c>
      <c r="V103" t="s">
        <v>1838</v>
      </c>
      <c r="W103" t="s">
        <v>1838</v>
      </c>
      <c r="X103" t="s">
        <v>1838</v>
      </c>
      <c r="Y103" t="s">
        <v>1841</v>
      </c>
      <c r="Z103">
        <v>4842179.1619999995</v>
      </c>
      <c r="AA103">
        <v>12553041.036323847</v>
      </c>
      <c r="AB103" t="s">
        <v>1850</v>
      </c>
      <c r="AC103" t="s">
        <v>1843</v>
      </c>
      <c r="AD103" t="s">
        <v>1860</v>
      </c>
    </row>
    <row r="104" spans="1:30">
      <c r="A104" t="s">
        <v>1687</v>
      </c>
      <c r="B104" t="s">
        <v>56</v>
      </c>
      <c r="C104" t="s">
        <v>57</v>
      </c>
      <c r="D104" t="s">
        <v>425</v>
      </c>
      <c r="E104">
        <v>2022</v>
      </c>
      <c r="F104">
        <v>4757172</v>
      </c>
      <c r="G104">
        <v>2.0400000000000001E-2</v>
      </c>
      <c r="H104">
        <v>97046.31</v>
      </c>
      <c r="I104" t="s">
        <v>1688</v>
      </c>
      <c r="J104" t="s">
        <v>1689</v>
      </c>
      <c r="K104" t="s">
        <v>547</v>
      </c>
      <c r="L104">
        <v>5376968</v>
      </c>
      <c r="M104" s="8">
        <v>44606</v>
      </c>
      <c r="N104" t="s">
        <v>57</v>
      </c>
      <c r="P104">
        <v>1</v>
      </c>
      <c r="R104" t="s">
        <v>1838</v>
      </c>
      <c r="S104" t="s">
        <v>1839</v>
      </c>
      <c r="T104" t="s">
        <v>1845</v>
      </c>
      <c r="U104" t="s">
        <v>1840</v>
      </c>
      <c r="V104" t="s">
        <v>1838</v>
      </c>
      <c r="W104" t="s">
        <v>1842</v>
      </c>
      <c r="X104" t="s">
        <v>1838</v>
      </c>
      <c r="Y104" t="s">
        <v>1841</v>
      </c>
      <c r="Z104">
        <v>4842179.1619999995</v>
      </c>
      <c r="AA104">
        <v>12553041.036323847</v>
      </c>
      <c r="AB104" t="s">
        <v>1850</v>
      </c>
      <c r="AC104" t="s">
        <v>1843</v>
      </c>
      <c r="AD104" t="s">
        <v>1858</v>
      </c>
    </row>
    <row r="105" spans="1:30">
      <c r="A105" t="s">
        <v>1702</v>
      </c>
      <c r="B105" t="s">
        <v>76</v>
      </c>
      <c r="C105" t="s">
        <v>77</v>
      </c>
      <c r="D105" t="s">
        <v>51</v>
      </c>
      <c r="E105">
        <v>2022</v>
      </c>
      <c r="F105">
        <v>1243908</v>
      </c>
      <c r="G105">
        <v>1.24E-2</v>
      </c>
      <c r="H105">
        <v>15574.46</v>
      </c>
      <c r="I105" t="s">
        <v>1703</v>
      </c>
      <c r="J105" t="s">
        <v>1704</v>
      </c>
      <c r="K105" t="s">
        <v>1113</v>
      </c>
      <c r="L105">
        <v>1304120</v>
      </c>
      <c r="M105" s="8">
        <v>44485</v>
      </c>
      <c r="N105" t="s">
        <v>77</v>
      </c>
      <c r="O105">
        <v>1.24E-2</v>
      </c>
      <c r="P105">
        <v>1</v>
      </c>
      <c r="Q105" t="s">
        <v>1820</v>
      </c>
      <c r="R105" t="s">
        <v>1838</v>
      </c>
      <c r="S105" t="s">
        <v>1839</v>
      </c>
      <c r="T105" t="s">
        <v>1845</v>
      </c>
      <c r="U105" t="s">
        <v>1840</v>
      </c>
      <c r="V105" t="s">
        <v>1838</v>
      </c>
      <c r="W105" t="s">
        <v>1838</v>
      </c>
      <c r="X105" t="s">
        <v>1838</v>
      </c>
      <c r="Y105" t="s">
        <v>1841</v>
      </c>
      <c r="Z105">
        <v>4842179.1619999995</v>
      </c>
      <c r="AA105">
        <v>12553041.036323847</v>
      </c>
      <c r="AB105" t="s">
        <v>1850</v>
      </c>
      <c r="AC105" t="s">
        <v>1843</v>
      </c>
      <c r="AD105" t="s">
        <v>1857</v>
      </c>
    </row>
    <row r="106" spans="1:30">
      <c r="A106" t="s">
        <v>1705</v>
      </c>
      <c r="B106" t="s">
        <v>137</v>
      </c>
      <c r="C106" t="s">
        <v>138</v>
      </c>
      <c r="D106" t="s">
        <v>71</v>
      </c>
      <c r="E106">
        <v>2024</v>
      </c>
      <c r="F106">
        <v>10200626</v>
      </c>
      <c r="G106">
        <v>1.8700000000000001E-2</v>
      </c>
      <c r="H106">
        <v>190651.71</v>
      </c>
      <c r="I106" t="s">
        <v>1706</v>
      </c>
      <c r="J106" t="s">
        <v>1707</v>
      </c>
      <c r="K106" t="s">
        <v>723</v>
      </c>
      <c r="L106">
        <v>9737084</v>
      </c>
      <c r="M106" s="8">
        <v>45184</v>
      </c>
      <c r="N106" t="s">
        <v>138</v>
      </c>
      <c r="O106">
        <v>1.8700000000000001E-2</v>
      </c>
      <c r="P106">
        <v>1</v>
      </c>
      <c r="Q106" t="s">
        <v>1822</v>
      </c>
      <c r="R106" t="s">
        <v>1838</v>
      </c>
      <c r="S106" t="s">
        <v>1839</v>
      </c>
      <c r="T106" t="s">
        <v>1845</v>
      </c>
      <c r="U106" t="s">
        <v>1840</v>
      </c>
      <c r="V106" t="s">
        <v>1838</v>
      </c>
      <c r="W106" t="s">
        <v>1838</v>
      </c>
      <c r="X106" t="s">
        <v>1838</v>
      </c>
      <c r="Y106" t="s">
        <v>1841</v>
      </c>
      <c r="Z106">
        <v>4842179.1619999995</v>
      </c>
      <c r="AA106">
        <v>12553041.036323847</v>
      </c>
      <c r="AB106" t="s">
        <v>1850</v>
      </c>
      <c r="AC106" t="s">
        <v>1843</v>
      </c>
      <c r="AD106" t="s">
        <v>1857</v>
      </c>
    </row>
    <row r="107" spans="1:30">
      <c r="A107" t="s">
        <v>1721</v>
      </c>
      <c r="B107" t="s">
        <v>678</v>
      </c>
      <c r="C107" t="s">
        <v>132</v>
      </c>
      <c r="D107" t="s">
        <v>58</v>
      </c>
      <c r="E107">
        <v>2023</v>
      </c>
      <c r="F107">
        <v>2326066</v>
      </c>
      <c r="G107">
        <v>9.7999999999999997E-3</v>
      </c>
      <c r="H107">
        <v>22795.45</v>
      </c>
      <c r="I107" t="s">
        <v>1722</v>
      </c>
      <c r="J107" t="s">
        <v>1723</v>
      </c>
      <c r="K107" t="s">
        <v>914</v>
      </c>
      <c r="L107">
        <v>2702660</v>
      </c>
      <c r="M107" s="8">
        <v>45262</v>
      </c>
      <c r="P107">
        <v>1</v>
      </c>
      <c r="Q107" t="s">
        <v>1823</v>
      </c>
      <c r="R107" t="s">
        <v>1842</v>
      </c>
      <c r="S107" t="s">
        <v>1845</v>
      </c>
      <c r="T107" t="s">
        <v>1845</v>
      </c>
      <c r="U107" t="s">
        <v>1840</v>
      </c>
      <c r="V107" t="s">
        <v>1838</v>
      </c>
      <c r="W107" t="s">
        <v>1838</v>
      </c>
      <c r="X107" t="s">
        <v>1838</v>
      </c>
      <c r="Y107" t="s">
        <v>1841</v>
      </c>
      <c r="Z107">
        <v>4842179.1619999995</v>
      </c>
      <c r="AA107">
        <v>12553041.036323847</v>
      </c>
      <c r="AB107" t="s">
        <v>1850</v>
      </c>
      <c r="AC107" t="s">
        <v>1843</v>
      </c>
      <c r="AD107" t="s">
        <v>1860</v>
      </c>
    </row>
    <row r="108" spans="1:30">
      <c r="A108" t="s">
        <v>1739</v>
      </c>
      <c r="B108" t="s">
        <v>101</v>
      </c>
      <c r="C108" t="s">
        <v>102</v>
      </c>
      <c r="D108" t="s">
        <v>97</v>
      </c>
      <c r="E108">
        <v>2024</v>
      </c>
      <c r="F108">
        <v>2243923</v>
      </c>
      <c r="G108">
        <v>2.0899999999999998E-2</v>
      </c>
      <c r="H108">
        <v>47197.99</v>
      </c>
      <c r="I108" t="s">
        <v>1740</v>
      </c>
      <c r="J108" t="s">
        <v>1741</v>
      </c>
      <c r="K108" t="s">
        <v>688</v>
      </c>
      <c r="L108">
        <v>2635940</v>
      </c>
      <c r="M108" s="8">
        <v>45664</v>
      </c>
      <c r="N108" t="s">
        <v>102</v>
      </c>
      <c r="O108">
        <v>2.0899999999999998E-2</v>
      </c>
      <c r="P108">
        <v>1</v>
      </c>
      <c r="Q108" t="s">
        <v>1821</v>
      </c>
      <c r="R108" t="s">
        <v>1838</v>
      </c>
      <c r="S108" t="s">
        <v>1839</v>
      </c>
      <c r="T108" t="s">
        <v>1845</v>
      </c>
      <c r="U108" t="s">
        <v>1840</v>
      </c>
      <c r="V108" t="s">
        <v>1838</v>
      </c>
      <c r="W108" t="s">
        <v>1838</v>
      </c>
      <c r="X108" t="s">
        <v>1838</v>
      </c>
      <c r="Y108" t="s">
        <v>1841</v>
      </c>
      <c r="Z108">
        <v>4842179.1619999995</v>
      </c>
      <c r="AA108">
        <v>12553041.036323847</v>
      </c>
      <c r="AB108" t="s">
        <v>1850</v>
      </c>
      <c r="AC108" t="s">
        <v>1843</v>
      </c>
      <c r="AD108" t="s">
        <v>1857</v>
      </c>
    </row>
    <row r="109" spans="1:30">
      <c r="A109" t="s">
        <v>1745</v>
      </c>
      <c r="B109" t="s">
        <v>131</v>
      </c>
      <c r="C109" t="s">
        <v>132</v>
      </c>
      <c r="D109" t="s">
        <v>71</v>
      </c>
      <c r="E109">
        <v>2024</v>
      </c>
      <c r="F109">
        <v>7158110</v>
      </c>
      <c r="G109">
        <v>1.8800000000000001E-2</v>
      </c>
      <c r="H109">
        <v>134472.47</v>
      </c>
      <c r="I109" t="s">
        <v>1746</v>
      </c>
      <c r="J109" t="s">
        <v>1747</v>
      </c>
      <c r="K109" t="s">
        <v>688</v>
      </c>
      <c r="L109">
        <v>8362234</v>
      </c>
      <c r="M109" s="8">
        <v>45427</v>
      </c>
      <c r="N109" t="s">
        <v>132</v>
      </c>
      <c r="O109">
        <v>1.8800000000000001E-2</v>
      </c>
      <c r="P109">
        <v>1</v>
      </c>
      <c r="Q109" t="s">
        <v>1822</v>
      </c>
      <c r="R109" t="s">
        <v>1838</v>
      </c>
      <c r="S109" t="s">
        <v>1839</v>
      </c>
      <c r="T109" t="s">
        <v>1845</v>
      </c>
      <c r="U109" t="s">
        <v>1840</v>
      </c>
      <c r="V109" t="s">
        <v>1838</v>
      </c>
      <c r="W109" t="s">
        <v>1838</v>
      </c>
      <c r="X109" t="s">
        <v>1838</v>
      </c>
      <c r="Y109" t="s">
        <v>1841</v>
      </c>
      <c r="Z109">
        <v>4842179.1619999995</v>
      </c>
      <c r="AA109">
        <v>12553041.036323847</v>
      </c>
      <c r="AB109" t="s">
        <v>1850</v>
      </c>
      <c r="AC109" t="s">
        <v>1843</v>
      </c>
      <c r="AD109" t="s">
        <v>1857</v>
      </c>
    </row>
    <row r="110" spans="1:30">
      <c r="A110" t="s">
        <v>1748</v>
      </c>
      <c r="B110" t="s">
        <v>49</v>
      </c>
      <c r="C110" t="s">
        <v>50</v>
      </c>
      <c r="D110" t="s">
        <v>71</v>
      </c>
      <c r="E110">
        <v>2024</v>
      </c>
      <c r="F110">
        <v>8997995</v>
      </c>
      <c r="G110">
        <v>1.8100000000000002E-2</v>
      </c>
      <c r="H110">
        <v>162863.71</v>
      </c>
      <c r="I110" t="s">
        <v>1749</v>
      </c>
      <c r="J110" t="s">
        <v>1168</v>
      </c>
      <c r="K110" t="s">
        <v>478</v>
      </c>
      <c r="L110">
        <v>11064859</v>
      </c>
      <c r="M110" s="8">
        <v>45370</v>
      </c>
      <c r="N110" t="s">
        <v>50</v>
      </c>
      <c r="O110">
        <v>1.8100000000000002E-2</v>
      </c>
      <c r="P110">
        <v>1</v>
      </c>
      <c r="Q110" t="s">
        <v>1822</v>
      </c>
      <c r="R110" t="s">
        <v>1838</v>
      </c>
      <c r="S110" t="s">
        <v>1839</v>
      </c>
      <c r="T110" t="s">
        <v>1838</v>
      </c>
      <c r="U110" t="s">
        <v>1840</v>
      </c>
      <c r="V110" t="s">
        <v>1842</v>
      </c>
      <c r="W110" t="s">
        <v>1838</v>
      </c>
      <c r="X110" t="s">
        <v>1838</v>
      </c>
      <c r="Y110" t="s">
        <v>1841</v>
      </c>
      <c r="Z110">
        <v>4842179.1619999995</v>
      </c>
      <c r="AA110">
        <v>12553041.036323847</v>
      </c>
      <c r="AB110" t="s">
        <v>1850</v>
      </c>
      <c r="AC110" t="s">
        <v>1843</v>
      </c>
      <c r="AD110" t="s">
        <v>1853</v>
      </c>
    </row>
    <row r="111" spans="1:30">
      <c r="A111" t="s">
        <v>1767</v>
      </c>
      <c r="B111" t="s">
        <v>101</v>
      </c>
      <c r="C111" t="s">
        <v>88</v>
      </c>
      <c r="D111" t="s">
        <v>97</v>
      </c>
      <c r="E111">
        <v>2021</v>
      </c>
      <c r="F111">
        <v>1359166</v>
      </c>
      <c r="G111">
        <v>2.0899999999999998E-2</v>
      </c>
      <c r="H111">
        <v>28406.57</v>
      </c>
      <c r="I111" t="s">
        <v>1768</v>
      </c>
      <c r="J111" t="s">
        <v>1769</v>
      </c>
      <c r="K111" t="s">
        <v>906</v>
      </c>
      <c r="L111">
        <v>1506845</v>
      </c>
      <c r="M111" s="8">
        <v>44172</v>
      </c>
      <c r="N111" t="s">
        <v>102</v>
      </c>
      <c r="O111">
        <v>2.0899999999999998E-2</v>
      </c>
      <c r="P111">
        <v>1</v>
      </c>
      <c r="Q111" t="s">
        <v>1821</v>
      </c>
      <c r="R111" t="s">
        <v>1838</v>
      </c>
      <c r="S111" t="s">
        <v>1845</v>
      </c>
      <c r="T111" t="s">
        <v>1838</v>
      </c>
      <c r="U111" t="s">
        <v>1840</v>
      </c>
      <c r="V111" t="s">
        <v>1838</v>
      </c>
      <c r="W111" t="s">
        <v>1838</v>
      </c>
      <c r="X111" t="s">
        <v>1838</v>
      </c>
      <c r="Y111" t="s">
        <v>1841</v>
      </c>
      <c r="Z111">
        <v>4842179.1619999995</v>
      </c>
      <c r="AA111">
        <v>12553041.036323847</v>
      </c>
      <c r="AB111" t="s">
        <v>1850</v>
      </c>
      <c r="AC111" t="s">
        <v>1843</v>
      </c>
      <c r="AD111" t="s">
        <v>1856</v>
      </c>
    </row>
    <row r="112" spans="1:30">
      <c r="A112" t="s">
        <v>1777</v>
      </c>
      <c r="B112" t="s">
        <v>602</v>
      </c>
      <c r="C112" t="s">
        <v>50</v>
      </c>
      <c r="D112" t="s">
        <v>58</v>
      </c>
      <c r="E112">
        <v>2024</v>
      </c>
      <c r="F112">
        <v>641153</v>
      </c>
      <c r="G112">
        <v>9.4999999999999998E-3</v>
      </c>
      <c r="H112">
        <v>6090.95</v>
      </c>
      <c r="I112" t="s">
        <v>1778</v>
      </c>
      <c r="J112" t="s">
        <v>1779</v>
      </c>
      <c r="K112" t="s">
        <v>1780</v>
      </c>
      <c r="L112">
        <v>605944</v>
      </c>
      <c r="M112" s="8">
        <v>44619</v>
      </c>
      <c r="P112">
        <v>1</v>
      </c>
      <c r="Q112" t="s">
        <v>1823</v>
      </c>
      <c r="R112" t="s">
        <v>1842</v>
      </c>
      <c r="S112" t="s">
        <v>1845</v>
      </c>
      <c r="T112" t="s">
        <v>1845</v>
      </c>
      <c r="U112" t="s">
        <v>1840</v>
      </c>
      <c r="V112" t="s">
        <v>1838</v>
      </c>
      <c r="W112" t="s">
        <v>1838</v>
      </c>
      <c r="X112" t="s">
        <v>1838</v>
      </c>
      <c r="Y112" t="s">
        <v>1841</v>
      </c>
      <c r="Z112">
        <v>4842179.1619999995</v>
      </c>
      <c r="AA112">
        <v>12553041.036323847</v>
      </c>
      <c r="AB112" t="s">
        <v>1850</v>
      </c>
      <c r="AC112" t="s">
        <v>1843</v>
      </c>
      <c r="AD112" t="s">
        <v>1860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1E9C0-39C8-4A02-96E1-909D2C6A05AA}">
  <dimension ref="A1:B14"/>
  <sheetViews>
    <sheetView workbookViewId="0">
      <selection activeCell="G20" sqref="G20"/>
    </sheetView>
  </sheetViews>
  <sheetFormatPr defaultRowHeight="14.5"/>
  <cols>
    <col min="1" max="1" width="12.90625" bestFit="1" customWidth="1"/>
    <col min="2" max="2" width="19.6328125" bestFit="1" customWidth="1"/>
  </cols>
  <sheetData>
    <row r="1" spans="1:2">
      <c r="A1" s="13" t="s">
        <v>1837</v>
      </c>
      <c r="B1" t="s">
        <v>1843</v>
      </c>
    </row>
    <row r="3" spans="1:2">
      <c r="A3" s="13" t="s">
        <v>1872</v>
      </c>
      <c r="B3" t="s">
        <v>1874</v>
      </c>
    </row>
    <row r="4" spans="1:2">
      <c r="A4" s="14" t="s">
        <v>57</v>
      </c>
      <c r="B4" s="9">
        <v>7</v>
      </c>
    </row>
    <row r="5" spans="1:2">
      <c r="A5" s="14" t="s">
        <v>132</v>
      </c>
      <c r="B5" s="9">
        <v>7</v>
      </c>
    </row>
    <row r="6" spans="1:2">
      <c r="A6" s="14" t="s">
        <v>77</v>
      </c>
      <c r="B6" s="9">
        <v>8</v>
      </c>
    </row>
    <row r="7" spans="1:2">
      <c r="A7" s="14" t="s">
        <v>88</v>
      </c>
      <c r="B7" s="9">
        <v>8</v>
      </c>
    </row>
    <row r="8" spans="1:2">
      <c r="A8" s="14" t="s">
        <v>102</v>
      </c>
      <c r="B8" s="9">
        <v>9</v>
      </c>
    </row>
    <row r="9" spans="1:2">
      <c r="A9" s="14" t="s">
        <v>138</v>
      </c>
      <c r="B9" s="9">
        <v>10</v>
      </c>
    </row>
    <row r="10" spans="1:2">
      <c r="A10" s="14" t="s">
        <v>70</v>
      </c>
      <c r="B10" s="9">
        <v>10</v>
      </c>
    </row>
    <row r="11" spans="1:2">
      <c r="A11" s="14" t="s">
        <v>151</v>
      </c>
      <c r="B11" s="9">
        <v>11</v>
      </c>
    </row>
    <row r="12" spans="1:2">
      <c r="A12" s="14" t="s">
        <v>64</v>
      </c>
      <c r="B12" s="9">
        <v>13</v>
      </c>
    </row>
    <row r="13" spans="1:2">
      <c r="A13" s="14" t="s">
        <v>50</v>
      </c>
      <c r="B13" s="9">
        <v>13</v>
      </c>
    </row>
    <row r="14" spans="1:2">
      <c r="A14" s="14" t="s">
        <v>1873</v>
      </c>
      <c r="B14" s="9">
        <v>96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E834F-86E6-4961-BA23-64E2E48D25E7}">
  <dimension ref="A1:B10"/>
  <sheetViews>
    <sheetView workbookViewId="0">
      <selection activeCell="H20" sqref="H20"/>
    </sheetView>
  </sheetViews>
  <sheetFormatPr defaultRowHeight="14.5"/>
  <cols>
    <col min="1" max="1" width="15" bestFit="1" customWidth="1"/>
    <col min="2" max="2" width="19.6328125" bestFit="1" customWidth="1"/>
  </cols>
  <sheetData>
    <row r="1" spans="1:2">
      <c r="A1" s="13" t="s">
        <v>1837</v>
      </c>
      <c r="B1" t="s">
        <v>1843</v>
      </c>
    </row>
    <row r="3" spans="1:2">
      <c r="A3" s="13" t="s">
        <v>1872</v>
      </c>
      <c r="B3" t="s">
        <v>1874</v>
      </c>
    </row>
    <row r="4" spans="1:2">
      <c r="A4" s="14" t="s">
        <v>644</v>
      </c>
      <c r="B4" s="9">
        <v>2</v>
      </c>
    </row>
    <row r="5" spans="1:2">
      <c r="A5" s="14" t="s">
        <v>51</v>
      </c>
      <c r="B5" s="9">
        <v>16</v>
      </c>
    </row>
    <row r="6" spans="1:2">
      <c r="A6" s="14" t="s">
        <v>97</v>
      </c>
      <c r="B6" s="9">
        <v>17</v>
      </c>
    </row>
    <row r="7" spans="1:2">
      <c r="A7" s="14" t="s">
        <v>71</v>
      </c>
      <c r="B7" s="9">
        <v>19</v>
      </c>
    </row>
    <row r="8" spans="1:2">
      <c r="A8" s="14" t="s">
        <v>58</v>
      </c>
      <c r="B8" s="9">
        <v>20</v>
      </c>
    </row>
    <row r="9" spans="1:2">
      <c r="A9" s="14" t="s">
        <v>82</v>
      </c>
      <c r="B9" s="9">
        <v>22</v>
      </c>
    </row>
    <row r="10" spans="1:2">
      <c r="A10" s="14" t="s">
        <v>1873</v>
      </c>
      <c r="B10" s="9">
        <v>96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3BB66-9736-4BC2-B39B-65E61E9283C0}">
  <dimension ref="A3:B10"/>
  <sheetViews>
    <sheetView workbookViewId="0">
      <selection activeCell="I22" sqref="I22"/>
    </sheetView>
  </sheetViews>
  <sheetFormatPr defaultRowHeight="14.5"/>
  <cols>
    <col min="1" max="1" width="15" bestFit="1" customWidth="1"/>
    <col min="2" max="2" width="23.7265625" bestFit="1" customWidth="1"/>
  </cols>
  <sheetData>
    <row r="3" spans="1:2">
      <c r="A3" s="13" t="s">
        <v>1872</v>
      </c>
      <c r="B3" t="s">
        <v>1881</v>
      </c>
    </row>
    <row r="4" spans="1:2">
      <c r="A4" s="14" t="s">
        <v>51</v>
      </c>
      <c r="B4" s="9">
        <v>861095.07291666663</v>
      </c>
    </row>
    <row r="5" spans="1:2">
      <c r="A5" s="14" t="s">
        <v>58</v>
      </c>
      <c r="B5" s="9">
        <v>1932233.46875</v>
      </c>
    </row>
    <row r="6" spans="1:2">
      <c r="A6" s="14" t="s">
        <v>97</v>
      </c>
      <c r="B6" s="9">
        <v>3486310.6326530613</v>
      </c>
    </row>
    <row r="7" spans="1:2">
      <c r="A7" s="14" t="s">
        <v>644</v>
      </c>
      <c r="B7" s="9">
        <v>4038858</v>
      </c>
    </row>
    <row r="8" spans="1:2">
      <c r="A8" s="14" t="s">
        <v>71</v>
      </c>
      <c r="B8" s="9">
        <v>6710678.2277227724</v>
      </c>
    </row>
    <row r="9" spans="1:2">
      <c r="A9" s="14" t="s">
        <v>82</v>
      </c>
      <c r="B9" s="9">
        <v>11691611.695652174</v>
      </c>
    </row>
    <row r="10" spans="1:2">
      <c r="A10" s="14" t="s">
        <v>1873</v>
      </c>
      <c r="B10" s="9">
        <v>4889283.4536082475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867A1-80F7-4791-A20A-D4F49CCAA978}">
  <dimension ref="A3:B13"/>
  <sheetViews>
    <sheetView workbookViewId="0">
      <selection activeCell="L10" sqref="L10"/>
    </sheetView>
  </sheetViews>
  <sheetFormatPr defaultRowHeight="14.5"/>
  <cols>
    <col min="1" max="1" width="25.36328125" bestFit="1" customWidth="1"/>
    <col min="2" max="2" width="14" bestFit="1" customWidth="1"/>
  </cols>
  <sheetData>
    <row r="3" spans="1:2">
      <c r="A3" s="13" t="s">
        <v>1872</v>
      </c>
      <c r="B3" t="s">
        <v>1879</v>
      </c>
    </row>
    <row r="4" spans="1:2">
      <c r="A4" s="14" t="s">
        <v>1877</v>
      </c>
      <c r="B4" s="9">
        <v>0</v>
      </c>
    </row>
    <row r="5" spans="1:2">
      <c r="A5" s="14" t="s">
        <v>1851</v>
      </c>
      <c r="B5" s="9">
        <v>5</v>
      </c>
    </row>
    <row r="6" spans="1:2">
      <c r="A6" s="14" t="s">
        <v>1855</v>
      </c>
      <c r="B6" s="9">
        <v>8</v>
      </c>
    </row>
    <row r="7" spans="1:2">
      <c r="A7" s="14" t="s">
        <v>1876</v>
      </c>
      <c r="B7" s="9">
        <v>10</v>
      </c>
    </row>
    <row r="8" spans="1:2">
      <c r="A8" s="14" t="s">
        <v>1871</v>
      </c>
      <c r="B8" s="9">
        <v>12</v>
      </c>
    </row>
    <row r="9" spans="1:2">
      <c r="A9" s="14" t="s">
        <v>1853</v>
      </c>
      <c r="B9" s="9">
        <v>13</v>
      </c>
    </row>
    <row r="10" spans="1:2">
      <c r="A10" s="14" t="s">
        <v>1854</v>
      </c>
      <c r="B10" s="9">
        <v>20</v>
      </c>
    </row>
    <row r="11" spans="1:2">
      <c r="A11" s="14" t="s">
        <v>1856</v>
      </c>
      <c r="B11" s="9">
        <v>31</v>
      </c>
    </row>
    <row r="12" spans="1:2">
      <c r="A12" s="14" t="s">
        <v>1857</v>
      </c>
      <c r="B12" s="9">
        <v>47</v>
      </c>
    </row>
    <row r="13" spans="1:2">
      <c r="A13" s="14" t="s">
        <v>1873</v>
      </c>
      <c r="B13" s="9">
        <v>146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A6DDD-2791-44D6-9E72-592978DE515D}">
  <dimension ref="A1:AC501"/>
  <sheetViews>
    <sheetView topLeftCell="A2" workbookViewId="0">
      <selection activeCell="E14" sqref="E14"/>
    </sheetView>
  </sheetViews>
  <sheetFormatPr defaultRowHeight="14.5"/>
  <cols>
    <col min="1" max="1" width="19.08984375" customWidth="1"/>
    <col min="2" max="2" width="18.7265625" customWidth="1"/>
    <col min="3" max="3" width="19.453125" customWidth="1"/>
    <col min="4" max="4" width="15.7265625" customWidth="1"/>
    <col min="5" max="5" width="17.81640625" customWidth="1"/>
    <col min="6" max="6" width="16.453125" customWidth="1"/>
    <col min="7" max="7" width="10.81640625" customWidth="1"/>
    <col min="8" max="8" width="15.81640625" customWidth="1"/>
    <col min="9" max="9" width="24.08984375" customWidth="1"/>
    <col min="10" max="10" width="13.54296875" customWidth="1"/>
    <col min="11" max="11" width="23.6328125" customWidth="1"/>
    <col min="12" max="12" width="11.54296875" customWidth="1"/>
    <col min="13" max="13" width="11.453125" customWidth="1"/>
    <col min="14" max="14" width="28.26953125" customWidth="1"/>
    <col min="15" max="15" width="19.6328125" customWidth="1"/>
    <col min="16" max="16" width="12.26953125" customWidth="1"/>
    <col min="17" max="17" width="42.08984375" customWidth="1"/>
    <col min="18" max="18" width="24.90625" customWidth="1"/>
    <col min="19" max="19" width="25.54296875" customWidth="1"/>
    <col min="20" max="20" width="12" customWidth="1"/>
    <col min="21" max="21" width="17.08984375" customWidth="1"/>
    <col min="22" max="22" width="19.7265625" customWidth="1"/>
    <col min="23" max="23" width="21.81640625" customWidth="1"/>
    <col min="24" max="24" width="17.54296875" customWidth="1"/>
    <col min="25" max="25" width="21.08984375" customWidth="1"/>
    <col min="26" max="26" width="22.36328125" customWidth="1"/>
    <col min="27" max="27" width="23.54296875" customWidth="1"/>
    <col min="28" max="28" width="14.90625" customWidth="1"/>
    <col min="29" max="29" width="15.36328125" customWidth="1"/>
  </cols>
  <sheetData>
    <row r="1" spans="1:29">
      <c r="A1" t="s">
        <v>35</v>
      </c>
      <c r="B1" t="s">
        <v>36</v>
      </c>
      <c r="C1" t="s">
        <v>37</v>
      </c>
      <c r="D1" t="s">
        <v>38</v>
      </c>
      <c r="E1" t="s">
        <v>39</v>
      </c>
      <c r="F1" t="s">
        <v>40</v>
      </c>
      <c r="G1" t="s">
        <v>41</v>
      </c>
      <c r="H1" t="s">
        <v>42</v>
      </c>
      <c r="I1" t="s">
        <v>43</v>
      </c>
      <c r="J1" t="s">
        <v>44</v>
      </c>
      <c r="K1" t="s">
        <v>45</v>
      </c>
      <c r="L1" t="s">
        <v>46</v>
      </c>
      <c r="M1" t="s">
        <v>47</v>
      </c>
      <c r="N1" t="s">
        <v>1826</v>
      </c>
      <c r="O1" t="s">
        <v>1827</v>
      </c>
      <c r="P1" t="s">
        <v>1825</v>
      </c>
      <c r="Q1" t="s">
        <v>1828</v>
      </c>
      <c r="R1" t="s">
        <v>1829</v>
      </c>
      <c r="S1" t="s">
        <v>1830</v>
      </c>
      <c r="T1" t="s">
        <v>1831</v>
      </c>
      <c r="U1" t="s">
        <v>1832</v>
      </c>
      <c r="V1" t="s">
        <v>1833</v>
      </c>
      <c r="W1" t="s">
        <v>1849</v>
      </c>
      <c r="X1" t="s">
        <v>1834</v>
      </c>
      <c r="Y1" t="s">
        <v>1835</v>
      </c>
      <c r="Z1" t="s">
        <v>1846</v>
      </c>
      <c r="AA1" t="s">
        <v>1847</v>
      </c>
      <c r="AB1" t="s">
        <v>1836</v>
      </c>
      <c r="AC1" t="s">
        <v>1837</v>
      </c>
    </row>
    <row r="2" spans="1:29">
      <c r="A2" s="9" t="s">
        <v>48</v>
      </c>
      <c r="B2" s="9" t="s">
        <v>49</v>
      </c>
      <c r="C2" s="9" t="s">
        <v>50</v>
      </c>
      <c r="D2" s="9" t="s">
        <v>51</v>
      </c>
      <c r="E2">
        <v>2023</v>
      </c>
      <c r="F2">
        <v>599923</v>
      </c>
      <c r="G2">
        <v>1.21E-2</v>
      </c>
      <c r="H2">
        <v>7259.07</v>
      </c>
      <c r="I2" s="9" t="s">
        <v>52</v>
      </c>
      <c r="J2" s="9" t="s">
        <v>53</v>
      </c>
      <c r="K2" s="9" t="s">
        <v>54</v>
      </c>
      <c r="L2">
        <v>545503</v>
      </c>
      <c r="M2" s="8">
        <v>44238</v>
      </c>
      <c r="N2" s="9" t="s">
        <v>50</v>
      </c>
      <c r="O2">
        <v>1.21E-2</v>
      </c>
      <c r="P2">
        <v>1</v>
      </c>
      <c r="Q2" s="9" t="s">
        <v>1820</v>
      </c>
      <c r="R2" s="9" t="s">
        <v>1838</v>
      </c>
      <c r="S2" s="9" t="s">
        <v>1839</v>
      </c>
      <c r="T2" s="9" t="s">
        <v>1838</v>
      </c>
      <c r="U2" s="9" t="s">
        <v>1840</v>
      </c>
      <c r="V2" s="9" t="s">
        <v>1838</v>
      </c>
      <c r="W2" s="9" t="s">
        <v>1838</v>
      </c>
      <c r="X2" s="9" t="s">
        <v>1838</v>
      </c>
      <c r="Y2" s="9" t="s">
        <v>1841</v>
      </c>
      <c r="Z2">
        <v>4842179.1619999995</v>
      </c>
      <c r="AA2">
        <v>12553041.036323847</v>
      </c>
      <c r="AB2" s="9" t="s">
        <v>1850</v>
      </c>
      <c r="AC2" s="9" t="s">
        <v>1838</v>
      </c>
    </row>
    <row r="3" spans="1:29">
      <c r="A3" s="9" t="s">
        <v>126</v>
      </c>
      <c r="B3" s="9" t="s">
        <v>49</v>
      </c>
      <c r="C3" s="9" t="s">
        <v>50</v>
      </c>
      <c r="D3" s="9" t="s">
        <v>51</v>
      </c>
      <c r="E3">
        <v>2022</v>
      </c>
      <c r="F3">
        <v>775433</v>
      </c>
      <c r="G3">
        <v>1.21E-2</v>
      </c>
      <c r="H3">
        <v>9382.74</v>
      </c>
      <c r="I3" s="9" t="s">
        <v>127</v>
      </c>
      <c r="J3" s="9" t="s">
        <v>128</v>
      </c>
      <c r="K3" s="9" t="s">
        <v>129</v>
      </c>
      <c r="L3">
        <v>950770</v>
      </c>
      <c r="M3" s="8">
        <v>43890</v>
      </c>
      <c r="N3" s="9" t="s">
        <v>50</v>
      </c>
      <c r="O3">
        <v>1.21E-2</v>
      </c>
      <c r="P3">
        <v>1</v>
      </c>
      <c r="Q3" s="9" t="s">
        <v>1820</v>
      </c>
      <c r="R3" s="9" t="s">
        <v>1838</v>
      </c>
      <c r="S3" s="9" t="s">
        <v>1839</v>
      </c>
      <c r="T3" s="9" t="s">
        <v>1838</v>
      </c>
      <c r="U3" s="9" t="s">
        <v>1840</v>
      </c>
      <c r="V3" s="9" t="s">
        <v>1838</v>
      </c>
      <c r="W3" s="9" t="s">
        <v>1838</v>
      </c>
      <c r="X3" s="9" t="s">
        <v>1838</v>
      </c>
      <c r="Y3" s="9" t="s">
        <v>1841</v>
      </c>
      <c r="Z3">
        <v>4842179.1619999995</v>
      </c>
      <c r="AA3">
        <v>12553041.036323847</v>
      </c>
      <c r="AB3" s="9" t="s">
        <v>1850</v>
      </c>
      <c r="AC3" s="9" t="s">
        <v>1838</v>
      </c>
    </row>
    <row r="4" spans="1:29">
      <c r="A4" s="9" t="s">
        <v>92</v>
      </c>
      <c r="B4" s="9" t="s">
        <v>49</v>
      </c>
      <c r="C4" s="9" t="s">
        <v>50</v>
      </c>
      <c r="D4" s="9" t="s">
        <v>71</v>
      </c>
      <c r="E4">
        <v>2022</v>
      </c>
      <c r="F4">
        <v>2728416</v>
      </c>
      <c r="G4">
        <v>1.61E-2</v>
      </c>
      <c r="H4">
        <v>49384.33</v>
      </c>
      <c r="I4" s="9" t="s">
        <v>93</v>
      </c>
      <c r="J4" s="9" t="s">
        <v>94</v>
      </c>
      <c r="K4" s="9" t="s">
        <v>95</v>
      </c>
      <c r="L4">
        <v>3154506</v>
      </c>
      <c r="M4" s="8">
        <v>43749</v>
      </c>
      <c r="N4" s="9" t="s">
        <v>50</v>
      </c>
      <c r="O4">
        <v>1.8100000000000002E-2</v>
      </c>
      <c r="P4">
        <v>1</v>
      </c>
      <c r="Q4" s="9" t="s">
        <v>1822</v>
      </c>
      <c r="R4" s="9" t="s">
        <v>1838</v>
      </c>
      <c r="S4" s="9" t="s">
        <v>1839</v>
      </c>
      <c r="T4" s="9" t="s">
        <v>1838</v>
      </c>
      <c r="U4" s="9" t="s">
        <v>1840</v>
      </c>
      <c r="V4" s="9" t="s">
        <v>1838</v>
      </c>
      <c r="W4" s="9" t="s">
        <v>1838</v>
      </c>
      <c r="X4" s="9" t="s">
        <v>1838</v>
      </c>
      <c r="Y4" s="9" t="s">
        <v>1841</v>
      </c>
      <c r="Z4">
        <v>4842179.1619999995</v>
      </c>
      <c r="AA4">
        <v>12553041.036323847</v>
      </c>
      <c r="AB4" s="9" t="s">
        <v>1850</v>
      </c>
      <c r="AC4" s="9" t="s">
        <v>1838</v>
      </c>
    </row>
    <row r="5" spans="1:29">
      <c r="A5" s="9" t="s">
        <v>118</v>
      </c>
      <c r="B5" s="9" t="s">
        <v>63</v>
      </c>
      <c r="C5" s="9" t="s">
        <v>64</v>
      </c>
      <c r="D5" s="9" t="s">
        <v>71</v>
      </c>
      <c r="E5">
        <v>2021</v>
      </c>
      <c r="F5">
        <v>1819106</v>
      </c>
      <c r="G5">
        <v>1.8499999999999999E-2</v>
      </c>
      <c r="H5">
        <v>33653.46</v>
      </c>
      <c r="I5" s="9" t="s">
        <v>119</v>
      </c>
      <c r="J5" s="9" t="s">
        <v>120</v>
      </c>
      <c r="K5" s="9" t="s">
        <v>121</v>
      </c>
      <c r="L5">
        <v>2005786</v>
      </c>
      <c r="M5" s="8">
        <v>43628</v>
      </c>
      <c r="N5" s="9" t="s">
        <v>64</v>
      </c>
      <c r="O5">
        <v>1.8499999999999999E-2</v>
      </c>
      <c r="P5">
        <v>1</v>
      </c>
      <c r="Q5" s="9" t="s">
        <v>1822</v>
      </c>
      <c r="R5" s="9" t="s">
        <v>1838</v>
      </c>
      <c r="S5" s="9" t="s">
        <v>1839</v>
      </c>
      <c r="T5" s="9" t="s">
        <v>1838</v>
      </c>
      <c r="U5" s="9" t="s">
        <v>1840</v>
      </c>
      <c r="V5" s="9" t="s">
        <v>1838</v>
      </c>
      <c r="W5" s="9" t="s">
        <v>1838</v>
      </c>
      <c r="X5" s="9" t="s">
        <v>1838</v>
      </c>
      <c r="Y5" s="9" t="s">
        <v>1841</v>
      </c>
      <c r="Z5">
        <v>4842179.1619999995</v>
      </c>
      <c r="AA5">
        <v>12553041.036323847</v>
      </c>
      <c r="AB5" s="9" t="s">
        <v>1850</v>
      </c>
      <c r="AC5" s="9" t="s">
        <v>1838</v>
      </c>
    </row>
    <row r="6" spans="1:29">
      <c r="A6" s="9" t="s">
        <v>62</v>
      </c>
      <c r="B6" s="9" t="s">
        <v>63</v>
      </c>
      <c r="C6" s="9" t="s">
        <v>64</v>
      </c>
      <c r="D6" s="9" t="s">
        <v>58</v>
      </c>
      <c r="E6">
        <v>2021</v>
      </c>
      <c r="F6">
        <v>3857897</v>
      </c>
      <c r="G6">
        <v>9.4999999999999998E-3</v>
      </c>
      <c r="H6">
        <v>36650.019999999997</v>
      </c>
      <c r="I6" s="9" t="s">
        <v>65</v>
      </c>
      <c r="J6" s="9" t="s">
        <v>66</v>
      </c>
      <c r="K6" s="9" t="s">
        <v>67</v>
      </c>
      <c r="L6">
        <v>3786436</v>
      </c>
      <c r="M6" s="8">
        <v>43879</v>
      </c>
      <c r="N6" s="9" t="s">
        <v>64</v>
      </c>
      <c r="O6">
        <v>9.4999999999999998E-3</v>
      </c>
      <c r="P6">
        <v>1</v>
      </c>
      <c r="Q6" s="9" t="s">
        <v>1823</v>
      </c>
      <c r="R6" s="9" t="s">
        <v>1838</v>
      </c>
      <c r="S6" s="9" t="s">
        <v>1839</v>
      </c>
      <c r="T6" s="9" t="s">
        <v>1838</v>
      </c>
      <c r="U6" s="9" t="s">
        <v>1840</v>
      </c>
      <c r="V6" s="9" t="s">
        <v>1838</v>
      </c>
      <c r="W6" s="9" t="s">
        <v>1838</v>
      </c>
      <c r="X6" s="9" t="s">
        <v>1838</v>
      </c>
      <c r="Y6" s="9" t="s">
        <v>1841</v>
      </c>
      <c r="Z6">
        <v>4842179.1619999995</v>
      </c>
      <c r="AA6">
        <v>12553041.036323847</v>
      </c>
      <c r="AB6" s="9" t="s">
        <v>1850</v>
      </c>
      <c r="AC6" s="9" t="s">
        <v>1838</v>
      </c>
    </row>
    <row r="7" spans="1:29">
      <c r="A7" s="9" t="s">
        <v>55</v>
      </c>
      <c r="B7" s="9" t="s">
        <v>56</v>
      </c>
      <c r="C7" s="9" t="s">
        <v>57</v>
      </c>
      <c r="D7" s="9" t="s">
        <v>58</v>
      </c>
      <c r="E7">
        <v>2022</v>
      </c>
      <c r="F7">
        <v>1593640</v>
      </c>
      <c r="G7">
        <v>9.4000000000000004E-3</v>
      </c>
      <c r="H7">
        <v>14980.22</v>
      </c>
      <c r="I7" s="9" t="s">
        <v>59</v>
      </c>
      <c r="J7" s="9" t="s">
        <v>60</v>
      </c>
      <c r="K7" s="9" t="s">
        <v>61</v>
      </c>
      <c r="L7">
        <v>1906986</v>
      </c>
      <c r="M7" s="8">
        <v>44549</v>
      </c>
      <c r="N7" s="9" t="s">
        <v>57</v>
      </c>
      <c r="O7">
        <v>9.4000000000000004E-3</v>
      </c>
      <c r="P7">
        <v>1</v>
      </c>
      <c r="Q7" s="9" t="s">
        <v>1823</v>
      </c>
      <c r="R7" s="9" t="s">
        <v>1838</v>
      </c>
      <c r="S7" s="9" t="s">
        <v>1839</v>
      </c>
      <c r="T7" s="9" t="s">
        <v>1838</v>
      </c>
      <c r="U7" s="9" t="s">
        <v>1840</v>
      </c>
      <c r="V7" s="9" t="s">
        <v>1842</v>
      </c>
      <c r="W7" s="9" t="s">
        <v>1838</v>
      </c>
      <c r="X7" s="9" t="s">
        <v>1838</v>
      </c>
      <c r="Y7" s="9" t="s">
        <v>1841</v>
      </c>
      <c r="Z7">
        <v>4842179.1619999995</v>
      </c>
      <c r="AA7">
        <v>12553041.036323847</v>
      </c>
      <c r="AB7" s="9" t="s">
        <v>1850</v>
      </c>
      <c r="AC7" s="9" t="s">
        <v>1843</v>
      </c>
    </row>
    <row r="8" spans="1:29">
      <c r="A8" s="9" t="s">
        <v>183</v>
      </c>
      <c r="B8" s="9" t="s">
        <v>56</v>
      </c>
      <c r="C8" s="9" t="s">
        <v>57</v>
      </c>
      <c r="D8" s="9" t="s">
        <v>58</v>
      </c>
      <c r="E8">
        <v>2024</v>
      </c>
      <c r="F8">
        <v>635105</v>
      </c>
      <c r="G8">
        <v>9.4000000000000004E-3</v>
      </c>
      <c r="H8">
        <v>5969.99</v>
      </c>
      <c r="I8" s="9" t="s">
        <v>184</v>
      </c>
      <c r="J8" s="9" t="s">
        <v>185</v>
      </c>
      <c r="K8" s="9" t="s">
        <v>186</v>
      </c>
      <c r="L8">
        <v>691234</v>
      </c>
      <c r="M8" s="8">
        <v>45701</v>
      </c>
      <c r="N8" s="9" t="s">
        <v>57</v>
      </c>
      <c r="O8">
        <v>9.4000000000000004E-3</v>
      </c>
      <c r="P8">
        <v>2</v>
      </c>
      <c r="Q8" s="9" t="s">
        <v>1823</v>
      </c>
      <c r="R8" s="9" t="s">
        <v>1838</v>
      </c>
      <c r="S8" s="9" t="s">
        <v>1839</v>
      </c>
      <c r="T8" s="9" t="s">
        <v>1838</v>
      </c>
      <c r="U8" s="9" t="s">
        <v>1844</v>
      </c>
      <c r="V8" s="9" t="s">
        <v>1838</v>
      </c>
      <c r="W8" s="9" t="s">
        <v>1838</v>
      </c>
      <c r="X8" s="9" t="s">
        <v>1838</v>
      </c>
      <c r="Y8" s="9" t="s">
        <v>1841</v>
      </c>
      <c r="Z8">
        <v>4842179.1619999995</v>
      </c>
      <c r="AA8">
        <v>12553041.036323847</v>
      </c>
      <c r="AB8" s="9" t="s">
        <v>1850</v>
      </c>
      <c r="AC8" s="9" t="s">
        <v>1843</v>
      </c>
    </row>
    <row r="9" spans="1:29">
      <c r="A9" s="9" t="s">
        <v>183</v>
      </c>
      <c r="B9" s="9" t="s">
        <v>56</v>
      </c>
      <c r="C9" s="9" t="s">
        <v>57</v>
      </c>
      <c r="D9" s="9" t="s">
        <v>58</v>
      </c>
      <c r="E9">
        <v>2023</v>
      </c>
      <c r="F9">
        <v>658934</v>
      </c>
      <c r="G9">
        <v>9.4000000000000004E-3</v>
      </c>
      <c r="H9">
        <v>6193.98</v>
      </c>
      <c r="I9" s="9" t="s">
        <v>203</v>
      </c>
      <c r="J9" s="9" t="s">
        <v>204</v>
      </c>
      <c r="K9" s="9" t="s">
        <v>205</v>
      </c>
      <c r="L9">
        <v>655329</v>
      </c>
      <c r="M9" s="8">
        <v>45486</v>
      </c>
      <c r="N9" s="9" t="s">
        <v>57</v>
      </c>
      <c r="O9">
        <v>9.4000000000000004E-3</v>
      </c>
      <c r="P9">
        <v>2</v>
      </c>
      <c r="Q9" s="9" t="s">
        <v>1823</v>
      </c>
      <c r="R9" s="9" t="s">
        <v>1838</v>
      </c>
      <c r="S9" s="9" t="s">
        <v>1839</v>
      </c>
      <c r="T9" s="9" t="s">
        <v>1838</v>
      </c>
      <c r="U9" s="9" t="s">
        <v>1844</v>
      </c>
      <c r="V9" s="9" t="s">
        <v>1838</v>
      </c>
      <c r="W9" s="9" t="s">
        <v>1838</v>
      </c>
      <c r="X9" s="9" t="s">
        <v>1838</v>
      </c>
      <c r="Y9" s="9" t="s">
        <v>1841</v>
      </c>
      <c r="Z9">
        <v>4842179.1619999995</v>
      </c>
      <c r="AA9">
        <v>12553041.036323847</v>
      </c>
      <c r="AB9" s="9" t="s">
        <v>1850</v>
      </c>
      <c r="AC9" s="9" t="s">
        <v>1843</v>
      </c>
    </row>
    <row r="10" spans="1:29">
      <c r="A10" s="9" t="s">
        <v>206</v>
      </c>
      <c r="B10" s="9" t="s">
        <v>56</v>
      </c>
      <c r="C10" s="9" t="s">
        <v>57</v>
      </c>
      <c r="D10" s="9" t="s">
        <v>58</v>
      </c>
      <c r="E10">
        <v>2024</v>
      </c>
      <c r="F10">
        <v>1557887</v>
      </c>
      <c r="G10">
        <v>9.4000000000000004E-3</v>
      </c>
      <c r="H10">
        <v>14644.14</v>
      </c>
      <c r="I10" s="9" t="s">
        <v>207</v>
      </c>
      <c r="J10" s="9" t="s">
        <v>208</v>
      </c>
      <c r="K10" s="9" t="s">
        <v>209</v>
      </c>
      <c r="L10">
        <v>1417747</v>
      </c>
      <c r="M10" s="8">
        <v>44862</v>
      </c>
      <c r="N10" s="9" t="s">
        <v>57</v>
      </c>
      <c r="O10">
        <v>9.4000000000000004E-3</v>
      </c>
      <c r="P10">
        <v>1</v>
      </c>
      <c r="Q10" s="9" t="s">
        <v>1823</v>
      </c>
      <c r="R10" s="9" t="s">
        <v>1838</v>
      </c>
      <c r="S10" s="9" t="s">
        <v>1839</v>
      </c>
      <c r="T10" s="9" t="s">
        <v>1838</v>
      </c>
      <c r="U10" s="9" t="s">
        <v>1840</v>
      </c>
      <c r="V10" s="9" t="s">
        <v>1838</v>
      </c>
      <c r="W10" s="9" t="s">
        <v>1838</v>
      </c>
      <c r="X10" s="9" t="s">
        <v>1838</v>
      </c>
      <c r="Y10" s="9" t="s">
        <v>1841</v>
      </c>
      <c r="Z10">
        <v>4842179.1619999995</v>
      </c>
      <c r="AA10">
        <v>12553041.036323847</v>
      </c>
      <c r="AB10" s="9" t="s">
        <v>1850</v>
      </c>
      <c r="AC10" s="9" t="s">
        <v>1838</v>
      </c>
    </row>
    <row r="11" spans="1:29">
      <c r="A11" s="9" t="s">
        <v>230</v>
      </c>
      <c r="B11" s="9" t="s">
        <v>56</v>
      </c>
      <c r="C11" s="9" t="s">
        <v>57</v>
      </c>
      <c r="D11" s="9" t="s">
        <v>58</v>
      </c>
      <c r="E11">
        <v>2024</v>
      </c>
      <c r="F11">
        <v>3315442</v>
      </c>
      <c r="G11">
        <v>9.4000000000000004E-3</v>
      </c>
      <c r="H11">
        <v>31165.15</v>
      </c>
      <c r="I11" s="9" t="s">
        <v>231</v>
      </c>
      <c r="J11" s="9" t="s">
        <v>232</v>
      </c>
      <c r="K11" s="9" t="s">
        <v>233</v>
      </c>
      <c r="L11">
        <v>3185592</v>
      </c>
      <c r="M11" s="8">
        <v>44350</v>
      </c>
      <c r="N11" s="9" t="s">
        <v>57</v>
      </c>
      <c r="O11">
        <v>9.4000000000000004E-3</v>
      </c>
      <c r="P11">
        <v>1</v>
      </c>
      <c r="Q11" s="9" t="s">
        <v>1823</v>
      </c>
      <c r="R11" s="9" t="s">
        <v>1838</v>
      </c>
      <c r="S11" s="9" t="s">
        <v>1839</v>
      </c>
      <c r="T11" s="9" t="s">
        <v>1838</v>
      </c>
      <c r="U11" s="9" t="s">
        <v>1840</v>
      </c>
      <c r="V11" s="9" t="s">
        <v>1838</v>
      </c>
      <c r="W11" s="9" t="s">
        <v>1838</v>
      </c>
      <c r="X11" s="9" t="s">
        <v>1838</v>
      </c>
      <c r="Y11" s="9" t="s">
        <v>1841</v>
      </c>
      <c r="Z11">
        <v>4842179.1619999995</v>
      </c>
      <c r="AA11">
        <v>12553041.036323847</v>
      </c>
      <c r="AB11" s="9" t="s">
        <v>1850</v>
      </c>
      <c r="AC11" s="9" t="s">
        <v>1838</v>
      </c>
    </row>
    <row r="12" spans="1:29">
      <c r="A12" s="9" t="s">
        <v>96</v>
      </c>
      <c r="B12" s="9" t="s">
        <v>56</v>
      </c>
      <c r="C12" s="9" t="s">
        <v>57</v>
      </c>
      <c r="D12" s="9" t="s">
        <v>97</v>
      </c>
      <c r="E12">
        <v>2022</v>
      </c>
      <c r="F12">
        <v>3171103</v>
      </c>
      <c r="G12">
        <v>2.0400000000000001E-2</v>
      </c>
      <c r="H12">
        <v>64690.5</v>
      </c>
      <c r="I12" s="9" t="s">
        <v>84</v>
      </c>
      <c r="J12" s="9" t="s">
        <v>98</v>
      </c>
      <c r="K12" s="9" t="s">
        <v>99</v>
      </c>
      <c r="L12">
        <v>3340234</v>
      </c>
      <c r="M12" s="8">
        <v>45585</v>
      </c>
      <c r="N12" s="9" t="s">
        <v>57</v>
      </c>
      <c r="O12">
        <v>2.0400000000000001E-2</v>
      </c>
      <c r="P12">
        <v>1</v>
      </c>
      <c r="Q12" s="9" t="s">
        <v>1821</v>
      </c>
      <c r="R12" s="9" t="s">
        <v>1838</v>
      </c>
      <c r="S12" s="9" t="s">
        <v>1839</v>
      </c>
      <c r="T12" s="9" t="s">
        <v>1838</v>
      </c>
      <c r="U12" s="9" t="s">
        <v>1840</v>
      </c>
      <c r="V12" s="9" t="s">
        <v>1838</v>
      </c>
      <c r="W12" s="9" t="s">
        <v>1838</v>
      </c>
      <c r="X12" s="9" t="s">
        <v>1838</v>
      </c>
      <c r="Y12" s="9" t="s">
        <v>1841</v>
      </c>
      <c r="Z12">
        <v>4842179.1619999995</v>
      </c>
      <c r="AA12">
        <v>12553041.036323847</v>
      </c>
      <c r="AB12" s="9" t="s">
        <v>1850</v>
      </c>
      <c r="AC12" s="9" t="s">
        <v>1838</v>
      </c>
    </row>
    <row r="13" spans="1:29">
      <c r="A13" s="9" t="s">
        <v>106</v>
      </c>
      <c r="B13" s="9" t="s">
        <v>56</v>
      </c>
      <c r="C13" s="9" t="s">
        <v>57</v>
      </c>
      <c r="D13" s="9" t="s">
        <v>97</v>
      </c>
      <c r="E13">
        <v>2024</v>
      </c>
      <c r="F13">
        <v>1780253</v>
      </c>
      <c r="G13">
        <v>2.0400000000000001E-2</v>
      </c>
      <c r="H13">
        <v>36317.160000000003</v>
      </c>
      <c r="I13" s="9" t="s">
        <v>107</v>
      </c>
      <c r="J13" s="9" t="s">
        <v>108</v>
      </c>
      <c r="K13" s="9" t="s">
        <v>109</v>
      </c>
      <c r="L13">
        <v>2139126</v>
      </c>
      <c r="M13" s="8">
        <v>44706</v>
      </c>
      <c r="N13" s="9" t="s">
        <v>57</v>
      </c>
      <c r="O13">
        <v>2.0400000000000001E-2</v>
      </c>
      <c r="P13">
        <v>1</v>
      </c>
      <c r="Q13" s="9" t="s">
        <v>1821</v>
      </c>
      <c r="R13" s="9" t="s">
        <v>1838</v>
      </c>
      <c r="S13" s="9" t="s">
        <v>1839</v>
      </c>
      <c r="T13" s="9" t="s">
        <v>1838</v>
      </c>
      <c r="U13" s="9" t="s">
        <v>1840</v>
      </c>
      <c r="V13" s="9" t="s">
        <v>1838</v>
      </c>
      <c r="W13" s="9" t="s">
        <v>1838</v>
      </c>
      <c r="X13" s="9" t="s">
        <v>1838</v>
      </c>
      <c r="Y13" s="9" t="s">
        <v>1841</v>
      </c>
      <c r="Z13">
        <v>4842179.1619999995</v>
      </c>
      <c r="AA13">
        <v>12553041.036323847</v>
      </c>
      <c r="AB13" s="9" t="s">
        <v>1850</v>
      </c>
      <c r="AC13" s="9" t="s">
        <v>1838</v>
      </c>
    </row>
    <row r="14" spans="1:29">
      <c r="A14" s="9" t="s">
        <v>159</v>
      </c>
      <c r="B14" s="9" t="s">
        <v>56</v>
      </c>
      <c r="C14" s="9" t="s">
        <v>57</v>
      </c>
      <c r="D14" s="9" t="s">
        <v>97</v>
      </c>
      <c r="E14">
        <v>2023</v>
      </c>
      <c r="F14">
        <v>2342694</v>
      </c>
      <c r="G14">
        <v>2.0400000000000001E-2</v>
      </c>
      <c r="H14">
        <v>47790.96</v>
      </c>
      <c r="I14" s="9" t="s">
        <v>160</v>
      </c>
      <c r="J14" s="9" t="s">
        <v>161</v>
      </c>
      <c r="K14" s="9" t="s">
        <v>162</v>
      </c>
      <c r="L14">
        <v>2265723</v>
      </c>
      <c r="M14" s="8">
        <v>45192</v>
      </c>
      <c r="N14" s="9" t="s">
        <v>57</v>
      </c>
      <c r="O14">
        <v>2.0400000000000001E-2</v>
      </c>
      <c r="P14">
        <v>1</v>
      </c>
      <c r="Q14" s="9" t="s">
        <v>1821</v>
      </c>
      <c r="R14" s="9" t="s">
        <v>1838</v>
      </c>
      <c r="S14" s="9" t="s">
        <v>1839</v>
      </c>
      <c r="T14" s="9" t="s">
        <v>1838</v>
      </c>
      <c r="U14" s="9" t="s">
        <v>1840</v>
      </c>
      <c r="V14" s="9" t="s">
        <v>1838</v>
      </c>
      <c r="W14" s="9" t="s">
        <v>1838</v>
      </c>
      <c r="X14" s="9" t="s">
        <v>1838</v>
      </c>
      <c r="Y14" s="9" t="s">
        <v>1841</v>
      </c>
      <c r="Z14">
        <v>4842179.1619999995</v>
      </c>
      <c r="AA14">
        <v>12553041.036323847</v>
      </c>
      <c r="AB14" s="9" t="s">
        <v>1850</v>
      </c>
      <c r="AC14" s="9" t="s">
        <v>1838</v>
      </c>
    </row>
    <row r="15" spans="1:29">
      <c r="A15" s="9" t="s">
        <v>68</v>
      </c>
      <c r="B15" s="9" t="s">
        <v>69</v>
      </c>
      <c r="C15" s="9" t="s">
        <v>70</v>
      </c>
      <c r="D15" s="9" t="s">
        <v>71</v>
      </c>
      <c r="E15">
        <v>2024</v>
      </c>
      <c r="F15">
        <v>5954495</v>
      </c>
      <c r="G15">
        <v>1.8599999999999998E-2</v>
      </c>
      <c r="H15">
        <v>110753.61</v>
      </c>
      <c r="I15" s="9" t="s">
        <v>72</v>
      </c>
      <c r="J15" s="9" t="s">
        <v>73</v>
      </c>
      <c r="K15" s="9" t="s">
        <v>74</v>
      </c>
      <c r="L15">
        <v>6692852</v>
      </c>
      <c r="M15" s="8">
        <v>45337</v>
      </c>
      <c r="N15" s="9" t="s">
        <v>70</v>
      </c>
      <c r="O15">
        <v>1.8599999999999998E-2</v>
      </c>
      <c r="P15">
        <v>1</v>
      </c>
      <c r="Q15" s="9" t="s">
        <v>1822</v>
      </c>
      <c r="R15" s="9" t="s">
        <v>1838</v>
      </c>
      <c r="S15" s="9" t="s">
        <v>1839</v>
      </c>
      <c r="T15" s="9" t="s">
        <v>1838</v>
      </c>
      <c r="U15" s="9" t="s">
        <v>1840</v>
      </c>
      <c r="V15" s="9" t="s">
        <v>1838</v>
      </c>
      <c r="W15" s="9" t="s">
        <v>1838</v>
      </c>
      <c r="X15" s="9" t="s">
        <v>1838</v>
      </c>
      <c r="Y15" s="9" t="s">
        <v>1841</v>
      </c>
      <c r="Z15">
        <v>4842179.1619999995</v>
      </c>
      <c r="AA15">
        <v>12553041.036323847</v>
      </c>
      <c r="AB15" s="9" t="s">
        <v>1850</v>
      </c>
      <c r="AC15" s="9" t="s">
        <v>1838</v>
      </c>
    </row>
    <row r="16" spans="1:29">
      <c r="A16" s="9" t="s">
        <v>75</v>
      </c>
      <c r="B16" s="9" t="s">
        <v>76</v>
      </c>
      <c r="C16" s="9" t="s">
        <v>77</v>
      </c>
      <c r="D16" s="9" t="s">
        <v>71</v>
      </c>
      <c r="E16">
        <v>2021</v>
      </c>
      <c r="F16">
        <v>3205576</v>
      </c>
      <c r="G16">
        <v>1.84E-2</v>
      </c>
      <c r="H16">
        <v>58982.6</v>
      </c>
      <c r="I16" s="9" t="s">
        <v>78</v>
      </c>
      <c r="J16" s="9" t="s">
        <v>79</v>
      </c>
      <c r="K16" s="9" t="s">
        <v>80</v>
      </c>
      <c r="L16">
        <v>3045313</v>
      </c>
      <c r="M16" s="8">
        <v>44037</v>
      </c>
      <c r="N16" s="9" t="s">
        <v>77</v>
      </c>
      <c r="O16">
        <v>1.84E-2</v>
      </c>
      <c r="P16">
        <v>1</v>
      </c>
      <c r="Q16" s="9" t="s">
        <v>1822</v>
      </c>
      <c r="R16" s="9" t="s">
        <v>1838</v>
      </c>
      <c r="S16" s="9" t="s">
        <v>1839</v>
      </c>
      <c r="T16" s="9" t="s">
        <v>1838</v>
      </c>
      <c r="U16" s="9" t="s">
        <v>1840</v>
      </c>
      <c r="V16" s="9" t="s">
        <v>1838</v>
      </c>
      <c r="W16" s="9" t="s">
        <v>1838</v>
      </c>
      <c r="X16" s="9" t="s">
        <v>1838</v>
      </c>
      <c r="Y16" s="9" t="s">
        <v>1841</v>
      </c>
      <c r="Z16">
        <v>4842179.1619999995</v>
      </c>
      <c r="AA16">
        <v>12553041.036323847</v>
      </c>
      <c r="AB16" s="9" t="s">
        <v>1850</v>
      </c>
      <c r="AC16" s="9" t="s">
        <v>1838</v>
      </c>
    </row>
    <row r="17" spans="1:29">
      <c r="A17" s="9" t="s">
        <v>179</v>
      </c>
      <c r="B17" s="9" t="s">
        <v>76</v>
      </c>
      <c r="C17" s="9" t="s">
        <v>77</v>
      </c>
      <c r="D17" s="9" t="s">
        <v>71</v>
      </c>
      <c r="E17">
        <v>2024</v>
      </c>
      <c r="F17">
        <v>2115456</v>
      </c>
      <c r="G17">
        <v>1.84E-2</v>
      </c>
      <c r="H17">
        <v>38924.39</v>
      </c>
      <c r="I17" s="9" t="s">
        <v>180</v>
      </c>
      <c r="J17" s="9" t="s">
        <v>181</v>
      </c>
      <c r="K17" s="9" t="s">
        <v>182</v>
      </c>
      <c r="L17">
        <v>2211083</v>
      </c>
      <c r="M17" s="8">
        <v>44874</v>
      </c>
      <c r="N17" s="9" t="s">
        <v>77</v>
      </c>
      <c r="O17">
        <v>1.84E-2</v>
      </c>
      <c r="P17">
        <v>1</v>
      </c>
      <c r="Q17" s="9" t="s">
        <v>1822</v>
      </c>
      <c r="R17" s="9" t="s">
        <v>1838</v>
      </c>
      <c r="S17" s="9" t="s">
        <v>1839</v>
      </c>
      <c r="T17" s="9" t="s">
        <v>1838</v>
      </c>
      <c r="U17" s="9" t="s">
        <v>1840</v>
      </c>
      <c r="V17" s="9" t="s">
        <v>1838</v>
      </c>
      <c r="W17" s="9" t="s">
        <v>1838</v>
      </c>
      <c r="X17" s="9" t="s">
        <v>1838</v>
      </c>
      <c r="Y17" s="9" t="s">
        <v>1841</v>
      </c>
      <c r="Z17">
        <v>4842179.1619999995</v>
      </c>
      <c r="AA17">
        <v>12553041.036323847</v>
      </c>
      <c r="AB17" s="9" t="s">
        <v>1850</v>
      </c>
      <c r="AC17" s="9" t="s">
        <v>1838</v>
      </c>
    </row>
    <row r="18" spans="1:29">
      <c r="A18" s="9" t="s">
        <v>222</v>
      </c>
      <c r="B18" s="9" t="s">
        <v>76</v>
      </c>
      <c r="C18" s="9" t="s">
        <v>77</v>
      </c>
      <c r="D18" s="9" t="s">
        <v>71</v>
      </c>
      <c r="E18">
        <v>2022</v>
      </c>
      <c r="F18">
        <v>3992728</v>
      </c>
      <c r="G18">
        <v>1.84E-2</v>
      </c>
      <c r="H18">
        <v>73466.2</v>
      </c>
      <c r="I18" s="9" t="s">
        <v>223</v>
      </c>
      <c r="J18" s="9" t="s">
        <v>224</v>
      </c>
      <c r="K18" s="9" t="s">
        <v>225</v>
      </c>
      <c r="L18">
        <v>4249416</v>
      </c>
      <c r="M18" s="8">
        <v>45270</v>
      </c>
      <c r="N18" s="9" t="s">
        <v>77</v>
      </c>
      <c r="O18">
        <v>1.84E-2</v>
      </c>
      <c r="P18">
        <v>1</v>
      </c>
      <c r="Q18" s="9" t="s">
        <v>1822</v>
      </c>
      <c r="R18" s="9" t="s">
        <v>1838</v>
      </c>
      <c r="S18" s="9" t="s">
        <v>1839</v>
      </c>
      <c r="T18" s="9" t="s">
        <v>1838</v>
      </c>
      <c r="U18" s="9" t="s">
        <v>1840</v>
      </c>
      <c r="V18" s="9" t="s">
        <v>1838</v>
      </c>
      <c r="W18" s="9" t="s">
        <v>1838</v>
      </c>
      <c r="X18" s="9" t="s">
        <v>1838</v>
      </c>
      <c r="Y18" s="9" t="s">
        <v>1841</v>
      </c>
      <c r="Z18">
        <v>4842179.1619999995</v>
      </c>
      <c r="AA18">
        <v>12553041.036323847</v>
      </c>
      <c r="AB18" s="9" t="s">
        <v>1850</v>
      </c>
      <c r="AC18" s="9" t="s">
        <v>1838</v>
      </c>
    </row>
    <row r="19" spans="1:29">
      <c r="A19" s="9" t="s">
        <v>81</v>
      </c>
      <c r="B19" s="9" t="s">
        <v>76</v>
      </c>
      <c r="C19" s="9" t="s">
        <v>77</v>
      </c>
      <c r="D19" s="9" t="s">
        <v>82</v>
      </c>
      <c r="E19">
        <v>2023</v>
      </c>
      <c r="F19">
        <v>10228390</v>
      </c>
      <c r="G19">
        <v>1.47E-2</v>
      </c>
      <c r="H19">
        <v>150357.32999999999</v>
      </c>
      <c r="I19" s="9" t="s">
        <v>83</v>
      </c>
      <c r="J19" s="9" t="s">
        <v>84</v>
      </c>
      <c r="K19" s="9" t="s">
        <v>85</v>
      </c>
      <c r="L19">
        <v>9432976</v>
      </c>
      <c r="M19" s="8">
        <v>44612</v>
      </c>
      <c r="N19" s="9" t="s">
        <v>77</v>
      </c>
      <c r="O19">
        <v>1.47E-2</v>
      </c>
      <c r="P19">
        <v>1</v>
      </c>
      <c r="Q19" s="9" t="s">
        <v>1824</v>
      </c>
      <c r="R19" s="9" t="s">
        <v>1838</v>
      </c>
      <c r="S19" s="9" t="s">
        <v>1839</v>
      </c>
      <c r="T19" s="9" t="s">
        <v>1838</v>
      </c>
      <c r="U19" s="9" t="s">
        <v>1840</v>
      </c>
      <c r="V19" s="9" t="s">
        <v>1842</v>
      </c>
      <c r="W19" s="9" t="s">
        <v>1838</v>
      </c>
      <c r="X19" s="9" t="s">
        <v>1838</v>
      </c>
      <c r="Y19" s="9" t="s">
        <v>1841</v>
      </c>
      <c r="Z19">
        <v>4842179.1619999995</v>
      </c>
      <c r="AA19">
        <v>12553041.036323847</v>
      </c>
      <c r="AB19" s="9" t="s">
        <v>1850</v>
      </c>
      <c r="AC19" s="9" t="s">
        <v>1843</v>
      </c>
    </row>
    <row r="20" spans="1:29">
      <c r="A20" s="9" t="s">
        <v>86</v>
      </c>
      <c r="B20" s="9" t="s">
        <v>87</v>
      </c>
      <c r="C20" s="9" t="s">
        <v>88</v>
      </c>
      <c r="D20" s="9" t="s">
        <v>58</v>
      </c>
      <c r="E20">
        <v>2023</v>
      </c>
      <c r="F20">
        <v>3834011</v>
      </c>
      <c r="G20">
        <v>9.4999999999999998E-3</v>
      </c>
      <c r="H20">
        <v>36423.1</v>
      </c>
      <c r="I20" s="9" t="s">
        <v>89</v>
      </c>
      <c r="J20" s="9" t="s">
        <v>90</v>
      </c>
      <c r="K20" s="9" t="s">
        <v>91</v>
      </c>
      <c r="L20">
        <v>4473090</v>
      </c>
      <c r="M20" s="8">
        <v>44870</v>
      </c>
      <c r="N20" s="9" t="s">
        <v>88</v>
      </c>
      <c r="O20">
        <v>9.4999999999999998E-3</v>
      </c>
      <c r="P20">
        <v>1</v>
      </c>
      <c r="Q20" s="9" t="s">
        <v>1823</v>
      </c>
      <c r="R20" s="9" t="s">
        <v>1838</v>
      </c>
      <c r="S20" s="9" t="s">
        <v>1839</v>
      </c>
      <c r="T20" s="9" t="s">
        <v>1838</v>
      </c>
      <c r="U20" s="9" t="s">
        <v>1840</v>
      </c>
      <c r="V20" s="9" t="s">
        <v>1838</v>
      </c>
      <c r="W20" s="9" t="s">
        <v>1838</v>
      </c>
      <c r="X20" s="9" t="s">
        <v>1838</v>
      </c>
      <c r="Y20" s="9" t="s">
        <v>1841</v>
      </c>
      <c r="Z20">
        <v>4842179.1619999995</v>
      </c>
      <c r="AA20">
        <v>12553041.036323847</v>
      </c>
      <c r="AB20" s="9" t="s">
        <v>1850</v>
      </c>
      <c r="AC20" s="9" t="s">
        <v>1838</v>
      </c>
    </row>
    <row r="21" spans="1:29">
      <c r="A21" s="9" t="s">
        <v>199</v>
      </c>
      <c r="B21" s="9" t="s">
        <v>49</v>
      </c>
      <c r="C21" s="9" t="s">
        <v>50</v>
      </c>
      <c r="D21" s="9" t="s">
        <v>82</v>
      </c>
      <c r="E21">
        <v>2021</v>
      </c>
      <c r="F21">
        <v>13879627</v>
      </c>
      <c r="G21">
        <v>1.6899999999999998E-2</v>
      </c>
      <c r="H21">
        <v>199866.63</v>
      </c>
      <c r="I21" s="9" t="s">
        <v>200</v>
      </c>
      <c r="J21" s="9" t="s">
        <v>201</v>
      </c>
      <c r="K21" s="9" t="s">
        <v>202</v>
      </c>
      <c r="L21">
        <v>16293605</v>
      </c>
      <c r="M21" s="8">
        <v>44888</v>
      </c>
      <c r="N21" s="9" t="s">
        <v>50</v>
      </c>
      <c r="O21">
        <v>1.44E-2</v>
      </c>
      <c r="P21">
        <v>1</v>
      </c>
      <c r="Q21" s="9" t="s">
        <v>1824</v>
      </c>
      <c r="R21" s="9" t="s">
        <v>1838</v>
      </c>
      <c r="S21" s="9" t="s">
        <v>1839</v>
      </c>
      <c r="T21" s="9" t="s">
        <v>1838</v>
      </c>
      <c r="U21" s="9" t="s">
        <v>1840</v>
      </c>
      <c r="V21" s="9" t="s">
        <v>1838</v>
      </c>
      <c r="W21" s="9" t="s">
        <v>1838</v>
      </c>
      <c r="X21" s="9" t="s">
        <v>1838</v>
      </c>
      <c r="Y21" s="9" t="s">
        <v>1841</v>
      </c>
      <c r="Z21">
        <v>4842179.1619999995</v>
      </c>
      <c r="AA21">
        <v>12553041.036323847</v>
      </c>
      <c r="AB21" s="9" t="s">
        <v>1850</v>
      </c>
      <c r="AC21" s="9" t="s">
        <v>1838</v>
      </c>
    </row>
    <row r="22" spans="1:29">
      <c r="A22" s="9" t="s">
        <v>100</v>
      </c>
      <c r="B22" s="9" t="s">
        <v>101</v>
      </c>
      <c r="C22" s="9" t="s">
        <v>102</v>
      </c>
      <c r="D22" s="9" t="s">
        <v>51</v>
      </c>
      <c r="E22">
        <v>2022</v>
      </c>
      <c r="F22">
        <v>585185</v>
      </c>
      <c r="G22">
        <v>1.29E-2</v>
      </c>
      <c r="H22">
        <v>7548.89</v>
      </c>
      <c r="I22" s="9" t="s">
        <v>103</v>
      </c>
      <c r="J22" s="9" t="s">
        <v>104</v>
      </c>
      <c r="K22" s="9" t="s">
        <v>105</v>
      </c>
      <c r="L22">
        <v>663683</v>
      </c>
      <c r="M22" s="8">
        <v>44343</v>
      </c>
      <c r="N22" s="9" t="s">
        <v>102</v>
      </c>
      <c r="O22">
        <v>1.29E-2</v>
      </c>
      <c r="P22">
        <v>1</v>
      </c>
      <c r="Q22" s="9" t="s">
        <v>1820</v>
      </c>
      <c r="R22" s="9" t="s">
        <v>1838</v>
      </c>
      <c r="S22" s="9" t="s">
        <v>1839</v>
      </c>
      <c r="T22" s="9" t="s">
        <v>1838</v>
      </c>
      <c r="U22" s="9" t="s">
        <v>1840</v>
      </c>
      <c r="V22" s="9" t="s">
        <v>1838</v>
      </c>
      <c r="W22" s="9" t="s">
        <v>1838</v>
      </c>
      <c r="X22" s="9" t="s">
        <v>1838</v>
      </c>
      <c r="Y22" s="9" t="s">
        <v>1841</v>
      </c>
      <c r="Z22">
        <v>4842179.1619999995</v>
      </c>
      <c r="AA22">
        <v>12553041.036323847</v>
      </c>
      <c r="AB22" s="9" t="s">
        <v>1850</v>
      </c>
      <c r="AC22" s="9" t="s">
        <v>1838</v>
      </c>
    </row>
    <row r="23" spans="1:29">
      <c r="A23" s="9" t="s">
        <v>245</v>
      </c>
      <c r="B23" s="9" t="s">
        <v>101</v>
      </c>
      <c r="C23" s="9" t="s">
        <v>102</v>
      </c>
      <c r="D23" s="9" t="s">
        <v>51</v>
      </c>
      <c r="E23">
        <v>2024</v>
      </c>
      <c r="F23">
        <v>667659</v>
      </c>
      <c r="G23">
        <v>1.29E-2</v>
      </c>
      <c r="H23">
        <v>8612.7999999999993</v>
      </c>
      <c r="I23" s="9" t="s">
        <v>246</v>
      </c>
      <c r="J23" s="9" t="s">
        <v>247</v>
      </c>
      <c r="K23" s="9" t="s">
        <v>248</v>
      </c>
      <c r="L23">
        <v>627982</v>
      </c>
      <c r="M23" s="8">
        <v>45024</v>
      </c>
      <c r="N23" s="9" t="s">
        <v>102</v>
      </c>
      <c r="O23">
        <v>1.29E-2</v>
      </c>
      <c r="P23">
        <v>1</v>
      </c>
      <c r="Q23" s="9" t="s">
        <v>1820</v>
      </c>
      <c r="R23" s="9" t="s">
        <v>1838</v>
      </c>
      <c r="S23" s="9" t="s">
        <v>1839</v>
      </c>
      <c r="T23" s="9" t="s">
        <v>1838</v>
      </c>
      <c r="U23" s="9" t="s">
        <v>1840</v>
      </c>
      <c r="V23" s="9" t="s">
        <v>1838</v>
      </c>
      <c r="W23" s="9" t="s">
        <v>1838</v>
      </c>
      <c r="X23" s="9" t="s">
        <v>1838</v>
      </c>
      <c r="Y23" s="9" t="s">
        <v>1841</v>
      </c>
      <c r="Z23">
        <v>4842179.1619999995</v>
      </c>
      <c r="AA23">
        <v>12553041.036323847</v>
      </c>
      <c r="AB23" s="9" t="s">
        <v>1850</v>
      </c>
      <c r="AC23" s="9" t="s">
        <v>1838</v>
      </c>
    </row>
    <row r="24" spans="1:29">
      <c r="A24" s="9" t="s">
        <v>234</v>
      </c>
      <c r="B24" s="9" t="s">
        <v>131</v>
      </c>
      <c r="C24" s="9" t="s">
        <v>132</v>
      </c>
      <c r="D24" s="9" t="s">
        <v>51</v>
      </c>
      <c r="E24">
        <v>2024</v>
      </c>
      <c r="F24">
        <v>735906</v>
      </c>
      <c r="G24">
        <v>1.2800000000000001E-2</v>
      </c>
      <c r="H24">
        <v>9419.6</v>
      </c>
      <c r="I24" s="9" t="s">
        <v>235</v>
      </c>
      <c r="J24" s="9" t="s">
        <v>236</v>
      </c>
      <c r="K24" s="9" t="s">
        <v>84</v>
      </c>
      <c r="L24">
        <v>700690</v>
      </c>
      <c r="M24" s="8">
        <v>44741</v>
      </c>
      <c r="N24" s="9" t="s">
        <v>132</v>
      </c>
      <c r="O24">
        <v>1.2800000000000001E-2</v>
      </c>
      <c r="P24">
        <v>1</v>
      </c>
      <c r="Q24" s="9" t="s">
        <v>1820</v>
      </c>
      <c r="R24" s="9" t="s">
        <v>1838</v>
      </c>
      <c r="S24" s="9" t="s">
        <v>1839</v>
      </c>
      <c r="T24" s="9" t="s">
        <v>1838</v>
      </c>
      <c r="U24" s="9" t="s">
        <v>1840</v>
      </c>
      <c r="V24" s="9" t="s">
        <v>1838</v>
      </c>
      <c r="W24" s="9" t="s">
        <v>1838</v>
      </c>
      <c r="X24" s="9" t="s">
        <v>1838</v>
      </c>
      <c r="Y24" s="9" t="s">
        <v>1841</v>
      </c>
      <c r="Z24">
        <v>4842179.1619999995</v>
      </c>
      <c r="AA24">
        <v>12553041.036323847</v>
      </c>
      <c r="AB24" s="9" t="s">
        <v>1850</v>
      </c>
      <c r="AC24" s="9" t="s">
        <v>1838</v>
      </c>
    </row>
    <row r="25" spans="1:29">
      <c r="A25" s="9" t="s">
        <v>237</v>
      </c>
      <c r="B25" s="9" t="s">
        <v>131</v>
      </c>
      <c r="C25" s="9" t="s">
        <v>132</v>
      </c>
      <c r="D25" s="9" t="s">
        <v>51</v>
      </c>
      <c r="E25">
        <v>2021</v>
      </c>
      <c r="F25">
        <v>538030</v>
      </c>
      <c r="G25">
        <v>1.2800000000000001E-2</v>
      </c>
      <c r="H25">
        <v>6886.78</v>
      </c>
      <c r="I25" s="9" t="s">
        <v>238</v>
      </c>
      <c r="J25" s="9" t="s">
        <v>239</v>
      </c>
      <c r="K25" s="9" t="s">
        <v>240</v>
      </c>
      <c r="L25">
        <v>491733</v>
      </c>
      <c r="M25" s="8">
        <v>45235</v>
      </c>
      <c r="N25" s="9" t="s">
        <v>132</v>
      </c>
      <c r="O25">
        <v>1.2800000000000001E-2</v>
      </c>
      <c r="P25">
        <v>1</v>
      </c>
      <c r="Q25" s="9" t="s">
        <v>1820</v>
      </c>
      <c r="R25" s="9" t="s">
        <v>1838</v>
      </c>
      <c r="S25" s="9" t="s">
        <v>1839</v>
      </c>
      <c r="T25" s="9" t="s">
        <v>1838</v>
      </c>
      <c r="U25" s="9" t="s">
        <v>1840</v>
      </c>
      <c r="V25" s="9" t="s">
        <v>1838</v>
      </c>
      <c r="W25" s="9" t="s">
        <v>1838</v>
      </c>
      <c r="X25" s="9" t="s">
        <v>1838</v>
      </c>
      <c r="Y25" s="9" t="s">
        <v>1841</v>
      </c>
      <c r="Z25">
        <v>4842179.1619999995</v>
      </c>
      <c r="AA25">
        <v>12553041.036323847</v>
      </c>
      <c r="AB25" s="9" t="s">
        <v>1850</v>
      </c>
      <c r="AC25" s="9" t="s">
        <v>1838</v>
      </c>
    </row>
    <row r="26" spans="1:29">
      <c r="A26" s="9" t="s">
        <v>110</v>
      </c>
      <c r="B26" s="9" t="s">
        <v>76</v>
      </c>
      <c r="C26" s="9" t="s">
        <v>77</v>
      </c>
      <c r="D26" s="9" t="s">
        <v>97</v>
      </c>
      <c r="E26">
        <v>2024</v>
      </c>
      <c r="F26">
        <v>1448346</v>
      </c>
      <c r="G26">
        <v>2.0400000000000001E-2</v>
      </c>
      <c r="H26">
        <v>29546.26</v>
      </c>
      <c r="I26" s="9" t="s">
        <v>111</v>
      </c>
      <c r="J26" s="9" t="s">
        <v>112</v>
      </c>
      <c r="K26" s="9" t="s">
        <v>113</v>
      </c>
      <c r="L26">
        <v>1387818</v>
      </c>
      <c r="M26" s="8">
        <v>45191</v>
      </c>
      <c r="N26" s="9" t="s">
        <v>77</v>
      </c>
      <c r="O26">
        <v>2.0400000000000001E-2</v>
      </c>
      <c r="P26">
        <v>1</v>
      </c>
      <c r="Q26" s="9" t="s">
        <v>1821</v>
      </c>
      <c r="R26" s="9" t="s">
        <v>1838</v>
      </c>
      <c r="S26" s="9" t="s">
        <v>1839</v>
      </c>
      <c r="T26" s="9" t="s">
        <v>1838</v>
      </c>
      <c r="U26" s="9" t="s">
        <v>1840</v>
      </c>
      <c r="V26" s="9" t="s">
        <v>1838</v>
      </c>
      <c r="W26" s="9" t="s">
        <v>1838</v>
      </c>
      <c r="X26" s="9" t="s">
        <v>1838</v>
      </c>
      <c r="Y26" s="9" t="s">
        <v>1841</v>
      </c>
      <c r="Z26">
        <v>4842179.1619999995</v>
      </c>
      <c r="AA26">
        <v>12553041.036323847</v>
      </c>
      <c r="AB26" s="9" t="s">
        <v>1850</v>
      </c>
      <c r="AC26" s="9" t="s">
        <v>1838</v>
      </c>
    </row>
    <row r="27" spans="1:29">
      <c r="A27" s="9" t="s">
        <v>145</v>
      </c>
      <c r="B27" s="9" t="s">
        <v>131</v>
      </c>
      <c r="C27" s="9" t="s">
        <v>132</v>
      </c>
      <c r="D27" s="9" t="s">
        <v>97</v>
      </c>
      <c r="E27">
        <v>2024</v>
      </c>
      <c r="F27">
        <v>840823</v>
      </c>
      <c r="G27">
        <v>2.0799999999999999E-2</v>
      </c>
      <c r="H27">
        <v>17489.12</v>
      </c>
      <c r="I27" s="9" t="s">
        <v>146</v>
      </c>
      <c r="J27" s="9" t="s">
        <v>147</v>
      </c>
      <c r="K27" s="9" t="s">
        <v>148</v>
      </c>
      <c r="L27">
        <v>997052</v>
      </c>
      <c r="M27" s="8">
        <v>45139</v>
      </c>
      <c r="N27" s="9" t="s">
        <v>132</v>
      </c>
      <c r="O27">
        <v>2.0799999999999999E-2</v>
      </c>
      <c r="P27">
        <v>1</v>
      </c>
      <c r="Q27" s="9" t="s">
        <v>1821</v>
      </c>
      <c r="R27" s="9" t="s">
        <v>1838</v>
      </c>
      <c r="S27" s="9" t="s">
        <v>1839</v>
      </c>
      <c r="T27" s="9" t="s">
        <v>1838</v>
      </c>
      <c r="U27" s="9" t="s">
        <v>1840</v>
      </c>
      <c r="V27" s="9" t="s">
        <v>1838</v>
      </c>
      <c r="W27" s="9" t="s">
        <v>1838</v>
      </c>
      <c r="X27" s="9" t="s">
        <v>1838</v>
      </c>
      <c r="Y27" s="9" t="s">
        <v>1841</v>
      </c>
      <c r="Z27">
        <v>4842179.1619999995</v>
      </c>
      <c r="AA27">
        <v>12553041.036323847</v>
      </c>
      <c r="AB27" s="9" t="s">
        <v>1850</v>
      </c>
      <c r="AC27" s="9" t="s">
        <v>1838</v>
      </c>
    </row>
    <row r="28" spans="1:29">
      <c r="A28" s="9" t="s">
        <v>114</v>
      </c>
      <c r="B28" s="9" t="s">
        <v>101</v>
      </c>
      <c r="C28" s="9" t="s">
        <v>102</v>
      </c>
      <c r="D28" s="9" t="s">
        <v>97</v>
      </c>
      <c r="E28">
        <v>2024</v>
      </c>
      <c r="F28">
        <v>4485225</v>
      </c>
      <c r="G28">
        <v>2.0899999999999998E-2</v>
      </c>
      <c r="H28">
        <v>93741.2</v>
      </c>
      <c r="I28" s="9" t="s">
        <v>115</v>
      </c>
      <c r="J28" s="9" t="s">
        <v>116</v>
      </c>
      <c r="K28" s="9" t="s">
        <v>117</v>
      </c>
      <c r="L28">
        <v>4945916</v>
      </c>
      <c r="M28" s="8">
        <v>46574</v>
      </c>
      <c r="N28" s="9" t="s">
        <v>102</v>
      </c>
      <c r="O28">
        <v>2.0899999999999998E-2</v>
      </c>
      <c r="P28">
        <v>1</v>
      </c>
      <c r="Q28" s="9" t="s">
        <v>1821</v>
      </c>
      <c r="R28" s="9" t="s">
        <v>1838</v>
      </c>
      <c r="S28" s="9" t="s">
        <v>1839</v>
      </c>
      <c r="T28" s="9" t="s">
        <v>1838</v>
      </c>
      <c r="U28" s="9" t="s">
        <v>1840</v>
      </c>
      <c r="V28" s="9" t="s">
        <v>1838</v>
      </c>
      <c r="W28" s="9" t="s">
        <v>1838</v>
      </c>
      <c r="X28" s="9" t="s">
        <v>1842</v>
      </c>
      <c r="Y28" s="9" t="s">
        <v>1841</v>
      </c>
      <c r="Z28">
        <v>4842179.1619999995</v>
      </c>
      <c r="AA28">
        <v>12553041.036323847</v>
      </c>
      <c r="AB28" s="9" t="s">
        <v>1850</v>
      </c>
      <c r="AC28" s="9" t="s">
        <v>1843</v>
      </c>
    </row>
    <row r="29" spans="1:29">
      <c r="A29" s="9" t="s">
        <v>130</v>
      </c>
      <c r="B29" s="9" t="s">
        <v>131</v>
      </c>
      <c r="C29" s="9" t="s">
        <v>132</v>
      </c>
      <c r="D29" s="9" t="s">
        <v>71</v>
      </c>
      <c r="E29">
        <v>2021</v>
      </c>
      <c r="F29">
        <v>8673738</v>
      </c>
      <c r="G29">
        <v>1.8800000000000001E-2</v>
      </c>
      <c r="H29">
        <v>163066.26999999999</v>
      </c>
      <c r="I29" s="9" t="s">
        <v>133</v>
      </c>
      <c r="J29" s="9" t="s">
        <v>134</v>
      </c>
      <c r="K29" s="9" t="s">
        <v>135</v>
      </c>
      <c r="L29">
        <v>8086565</v>
      </c>
      <c r="M29" s="8">
        <v>45200</v>
      </c>
      <c r="N29" s="9" t="s">
        <v>132</v>
      </c>
      <c r="O29">
        <v>1.8800000000000001E-2</v>
      </c>
      <c r="P29">
        <v>1</v>
      </c>
      <c r="Q29" s="9" t="s">
        <v>1822</v>
      </c>
      <c r="R29" s="9" t="s">
        <v>1838</v>
      </c>
      <c r="S29" s="9" t="s">
        <v>1839</v>
      </c>
      <c r="T29" s="9" t="s">
        <v>1838</v>
      </c>
      <c r="U29" s="9" t="s">
        <v>1840</v>
      </c>
      <c r="V29" s="9" t="s">
        <v>1838</v>
      </c>
      <c r="W29" s="9" t="s">
        <v>1838</v>
      </c>
      <c r="X29" s="9" t="s">
        <v>1838</v>
      </c>
      <c r="Y29" s="9" t="s">
        <v>1841</v>
      </c>
      <c r="Z29">
        <v>4842179.1619999995</v>
      </c>
      <c r="AA29">
        <v>12553041.036323847</v>
      </c>
      <c r="AB29" s="9" t="s">
        <v>1850</v>
      </c>
      <c r="AC29" s="9" t="s">
        <v>1838</v>
      </c>
    </row>
    <row r="30" spans="1:29">
      <c r="A30" s="9" t="s">
        <v>210</v>
      </c>
      <c r="B30" s="9" t="s">
        <v>131</v>
      </c>
      <c r="C30" s="9" t="s">
        <v>132</v>
      </c>
      <c r="D30" s="9" t="s">
        <v>58</v>
      </c>
      <c r="E30">
        <v>2022</v>
      </c>
      <c r="F30">
        <v>1354463</v>
      </c>
      <c r="G30">
        <v>9.7999999999999997E-3</v>
      </c>
      <c r="H30">
        <v>13273.74</v>
      </c>
      <c r="I30" s="9" t="s">
        <v>211</v>
      </c>
      <c r="J30" s="9" t="s">
        <v>212</v>
      </c>
      <c r="K30" s="9" t="s">
        <v>213</v>
      </c>
      <c r="L30">
        <v>1482205</v>
      </c>
      <c r="M30" s="8">
        <v>44450</v>
      </c>
      <c r="N30" s="9" t="s">
        <v>132</v>
      </c>
      <c r="O30">
        <v>9.7999999999999997E-3</v>
      </c>
      <c r="P30">
        <v>2</v>
      </c>
      <c r="Q30" s="9" t="s">
        <v>1823</v>
      </c>
      <c r="R30" s="9" t="s">
        <v>1838</v>
      </c>
      <c r="S30" s="9" t="s">
        <v>1839</v>
      </c>
      <c r="T30" s="9" t="s">
        <v>1838</v>
      </c>
      <c r="U30" s="9" t="s">
        <v>1844</v>
      </c>
      <c r="V30" s="9" t="s">
        <v>1838</v>
      </c>
      <c r="W30" s="9" t="s">
        <v>1838</v>
      </c>
      <c r="X30" s="9" t="s">
        <v>1838</v>
      </c>
      <c r="Y30" s="9" t="s">
        <v>1841</v>
      </c>
      <c r="Z30">
        <v>4842179.1619999995</v>
      </c>
      <c r="AA30">
        <v>12553041.036323847</v>
      </c>
      <c r="AB30" s="9" t="s">
        <v>1850</v>
      </c>
      <c r="AC30" s="9" t="s">
        <v>1843</v>
      </c>
    </row>
    <row r="31" spans="1:29">
      <c r="A31" s="9" t="s">
        <v>210</v>
      </c>
      <c r="B31" s="9" t="s">
        <v>56</v>
      </c>
      <c r="C31" s="9" t="s">
        <v>57</v>
      </c>
      <c r="D31" s="9" t="s">
        <v>82</v>
      </c>
      <c r="E31">
        <v>2021</v>
      </c>
      <c r="F31">
        <v>4913878</v>
      </c>
      <c r="G31">
        <v>1.47E-2</v>
      </c>
      <c r="H31">
        <v>72234.009999999995</v>
      </c>
      <c r="I31" s="9" t="s">
        <v>818</v>
      </c>
      <c r="J31" s="9" t="s">
        <v>819</v>
      </c>
      <c r="K31" s="9" t="s">
        <v>381</v>
      </c>
      <c r="L31">
        <v>4779694</v>
      </c>
      <c r="M31" s="8">
        <v>45434</v>
      </c>
      <c r="N31" s="9" t="s">
        <v>57</v>
      </c>
      <c r="O31">
        <v>1.47E-2</v>
      </c>
      <c r="P31">
        <v>2</v>
      </c>
      <c r="Q31" s="9" t="s">
        <v>1824</v>
      </c>
      <c r="R31" s="9" t="s">
        <v>1838</v>
      </c>
      <c r="S31" s="9" t="s">
        <v>1839</v>
      </c>
      <c r="T31" s="9" t="s">
        <v>1838</v>
      </c>
      <c r="U31" s="9" t="s">
        <v>1844</v>
      </c>
      <c r="V31" s="9" t="s">
        <v>1838</v>
      </c>
      <c r="W31" s="9" t="s">
        <v>1838</v>
      </c>
      <c r="X31" s="9" t="s">
        <v>1838</v>
      </c>
      <c r="Y31" s="9" t="s">
        <v>1841</v>
      </c>
      <c r="Z31">
        <v>4842179.1619999995</v>
      </c>
      <c r="AA31">
        <v>12553041.036323847</v>
      </c>
      <c r="AB31" s="9" t="s">
        <v>1850</v>
      </c>
      <c r="AC31" s="9" t="s">
        <v>1843</v>
      </c>
    </row>
    <row r="32" spans="1:29">
      <c r="A32" s="9" t="s">
        <v>257</v>
      </c>
      <c r="B32" s="9" t="s">
        <v>131</v>
      </c>
      <c r="C32" s="9" t="s">
        <v>132</v>
      </c>
      <c r="D32" s="9" t="s">
        <v>58</v>
      </c>
      <c r="E32">
        <v>2022</v>
      </c>
      <c r="F32">
        <v>3405363</v>
      </c>
      <c r="G32">
        <v>9.7999999999999997E-3</v>
      </c>
      <c r="H32">
        <v>33372.559999999998</v>
      </c>
      <c r="I32" s="9" t="s">
        <v>258</v>
      </c>
      <c r="J32" s="9" t="s">
        <v>259</v>
      </c>
      <c r="K32" s="9" t="s">
        <v>260</v>
      </c>
      <c r="L32">
        <v>3241934</v>
      </c>
      <c r="M32" s="8">
        <v>45672</v>
      </c>
      <c r="N32" s="9" t="s">
        <v>132</v>
      </c>
      <c r="O32">
        <v>9.7999999999999997E-3</v>
      </c>
      <c r="P32">
        <v>1</v>
      </c>
      <c r="Q32" s="9" t="s">
        <v>1823</v>
      </c>
      <c r="R32" s="9" t="s">
        <v>1838</v>
      </c>
      <c r="S32" s="9" t="s">
        <v>1839</v>
      </c>
      <c r="T32" s="9" t="s">
        <v>1838</v>
      </c>
      <c r="U32" s="9" t="s">
        <v>1840</v>
      </c>
      <c r="V32" s="9" t="s">
        <v>1838</v>
      </c>
      <c r="W32" s="9" t="s">
        <v>1838</v>
      </c>
      <c r="X32" s="9" t="s">
        <v>1838</v>
      </c>
      <c r="Y32" s="9" t="s">
        <v>1841</v>
      </c>
      <c r="Z32">
        <v>4842179.1619999995</v>
      </c>
      <c r="AA32">
        <v>12553041.036323847</v>
      </c>
      <c r="AB32" s="9" t="s">
        <v>1850</v>
      </c>
      <c r="AC32" s="9" t="s">
        <v>1838</v>
      </c>
    </row>
    <row r="33" spans="1:29">
      <c r="A33" s="9" t="s">
        <v>122</v>
      </c>
      <c r="B33" s="9" t="s">
        <v>87</v>
      </c>
      <c r="C33" s="9" t="s">
        <v>88</v>
      </c>
      <c r="D33" s="9" t="s">
        <v>51</v>
      </c>
      <c r="E33">
        <v>2024</v>
      </c>
      <c r="F33">
        <v>896642</v>
      </c>
      <c r="G33">
        <v>1.2500000000000001E-2</v>
      </c>
      <c r="H33">
        <v>11208.03</v>
      </c>
      <c r="I33" s="9" t="s">
        <v>123</v>
      </c>
      <c r="J33" s="9" t="s">
        <v>124</v>
      </c>
      <c r="K33" s="9" t="s">
        <v>125</v>
      </c>
      <c r="L33">
        <v>950799</v>
      </c>
      <c r="M33" s="8">
        <v>45350</v>
      </c>
      <c r="N33" s="9" t="s">
        <v>88</v>
      </c>
      <c r="O33">
        <v>1.2500000000000001E-2</v>
      </c>
      <c r="P33">
        <v>1</v>
      </c>
      <c r="Q33" s="9" t="s">
        <v>1820</v>
      </c>
      <c r="R33" s="9" t="s">
        <v>1838</v>
      </c>
      <c r="S33" s="9" t="s">
        <v>1839</v>
      </c>
      <c r="T33" s="9" t="s">
        <v>1838</v>
      </c>
      <c r="U33" s="9" t="s">
        <v>1840</v>
      </c>
      <c r="V33" s="9" t="s">
        <v>1838</v>
      </c>
      <c r="W33" s="9" t="s">
        <v>1838</v>
      </c>
      <c r="X33" s="9" t="s">
        <v>1838</v>
      </c>
      <c r="Y33" s="9" t="s">
        <v>1841</v>
      </c>
      <c r="Z33">
        <v>4842179.1619999995</v>
      </c>
      <c r="AA33">
        <v>12553041.036323847</v>
      </c>
      <c r="AB33" s="9" t="s">
        <v>1850</v>
      </c>
      <c r="AC33" s="9" t="s">
        <v>1838</v>
      </c>
    </row>
    <row r="34" spans="1:29">
      <c r="A34" s="9" t="s">
        <v>155</v>
      </c>
      <c r="B34" s="9" t="s">
        <v>131</v>
      </c>
      <c r="C34" s="9" t="s">
        <v>132</v>
      </c>
      <c r="D34" s="9" t="s">
        <v>82</v>
      </c>
      <c r="E34">
        <v>2023</v>
      </c>
      <c r="F34">
        <v>2221996</v>
      </c>
      <c r="G34">
        <v>1.5100000000000001E-2</v>
      </c>
      <c r="H34">
        <v>33552.14</v>
      </c>
      <c r="I34" s="9" t="s">
        <v>156</v>
      </c>
      <c r="J34" s="9" t="s">
        <v>157</v>
      </c>
      <c r="K34" s="9" t="s">
        <v>158</v>
      </c>
      <c r="L34">
        <v>2404138</v>
      </c>
      <c r="M34" s="8">
        <v>45482</v>
      </c>
      <c r="N34" s="9" t="s">
        <v>132</v>
      </c>
      <c r="O34">
        <v>1.5100000000000001E-2</v>
      </c>
      <c r="P34">
        <v>1</v>
      </c>
      <c r="Q34" s="9" t="s">
        <v>1824</v>
      </c>
      <c r="R34" s="9" t="s">
        <v>1838</v>
      </c>
      <c r="S34" s="9" t="s">
        <v>1839</v>
      </c>
      <c r="T34" s="9" t="s">
        <v>1838</v>
      </c>
      <c r="U34" s="9" t="s">
        <v>1840</v>
      </c>
      <c r="V34" s="9" t="s">
        <v>1838</v>
      </c>
      <c r="W34" s="9" t="s">
        <v>1838</v>
      </c>
      <c r="X34" s="9" t="s">
        <v>1838</v>
      </c>
      <c r="Y34" s="9" t="s">
        <v>1841</v>
      </c>
      <c r="Z34">
        <v>4842179.1619999995</v>
      </c>
      <c r="AA34">
        <v>12553041.036323847</v>
      </c>
      <c r="AB34" s="9" t="s">
        <v>1850</v>
      </c>
      <c r="AC34" s="9" t="s">
        <v>1838</v>
      </c>
    </row>
    <row r="35" spans="1:29">
      <c r="A35" s="9" t="s">
        <v>195</v>
      </c>
      <c r="B35" s="9" t="s">
        <v>76</v>
      </c>
      <c r="C35" s="9" t="s">
        <v>77</v>
      </c>
      <c r="D35" s="9" t="s">
        <v>51</v>
      </c>
      <c r="E35">
        <v>2021</v>
      </c>
      <c r="F35">
        <v>988994</v>
      </c>
      <c r="G35">
        <v>1.24E-2</v>
      </c>
      <c r="H35">
        <v>12263.53</v>
      </c>
      <c r="I35" s="9" t="s">
        <v>196</v>
      </c>
      <c r="J35" s="9" t="s">
        <v>197</v>
      </c>
      <c r="K35" s="9" t="s">
        <v>198</v>
      </c>
      <c r="L35">
        <v>1173694</v>
      </c>
      <c r="M35" s="8">
        <v>44740</v>
      </c>
      <c r="N35" s="9" t="s">
        <v>77</v>
      </c>
      <c r="O35">
        <v>1.24E-2</v>
      </c>
      <c r="P35">
        <v>1</v>
      </c>
      <c r="Q35" s="9" t="s">
        <v>1820</v>
      </c>
      <c r="R35" s="9" t="s">
        <v>1838</v>
      </c>
      <c r="S35" s="9" t="s">
        <v>1839</v>
      </c>
      <c r="T35" s="9" t="s">
        <v>1838</v>
      </c>
      <c r="U35" s="9" t="s">
        <v>1840</v>
      </c>
      <c r="V35" s="9" t="s">
        <v>1838</v>
      </c>
      <c r="W35" s="9" t="s">
        <v>1838</v>
      </c>
      <c r="X35" s="9" t="s">
        <v>1838</v>
      </c>
      <c r="Y35" s="9" t="s">
        <v>1841</v>
      </c>
      <c r="Z35">
        <v>4842179.1619999995</v>
      </c>
      <c r="AA35">
        <v>12553041.036323847</v>
      </c>
      <c r="AB35" s="9" t="s">
        <v>1850</v>
      </c>
      <c r="AC35" s="9" t="s">
        <v>1838</v>
      </c>
    </row>
    <row r="36" spans="1:29">
      <c r="A36" s="9" t="s">
        <v>136</v>
      </c>
      <c r="B36" s="9" t="s">
        <v>137</v>
      </c>
      <c r="C36" s="9" t="s">
        <v>138</v>
      </c>
      <c r="D36" s="9" t="s">
        <v>51</v>
      </c>
      <c r="E36">
        <v>2021</v>
      </c>
      <c r="F36">
        <v>658515</v>
      </c>
      <c r="G36">
        <v>1.2699999999999999E-2</v>
      </c>
      <c r="H36">
        <v>8363.14</v>
      </c>
      <c r="I36" s="9" t="s">
        <v>139</v>
      </c>
      <c r="J36" s="9" t="s">
        <v>140</v>
      </c>
      <c r="K36" s="9" t="s">
        <v>141</v>
      </c>
      <c r="L36">
        <v>718411</v>
      </c>
      <c r="M36" s="8">
        <v>46526</v>
      </c>
      <c r="N36" s="9" t="s">
        <v>138</v>
      </c>
      <c r="O36">
        <v>1.2699999999999999E-2</v>
      </c>
      <c r="P36">
        <v>1</v>
      </c>
      <c r="Q36" s="9" t="s">
        <v>1820</v>
      </c>
      <c r="R36" s="9" t="s">
        <v>1838</v>
      </c>
      <c r="S36" s="9" t="s">
        <v>1839</v>
      </c>
      <c r="T36" s="9" t="s">
        <v>1838</v>
      </c>
      <c r="U36" s="9" t="s">
        <v>1840</v>
      </c>
      <c r="V36" s="9" t="s">
        <v>1838</v>
      </c>
      <c r="W36" s="9" t="s">
        <v>1838</v>
      </c>
      <c r="X36" s="9" t="s">
        <v>1842</v>
      </c>
      <c r="Y36" s="9" t="s">
        <v>1841</v>
      </c>
      <c r="Z36">
        <v>4842179.1619999995</v>
      </c>
      <c r="AA36">
        <v>12553041.036323847</v>
      </c>
      <c r="AB36" s="9" t="s">
        <v>1850</v>
      </c>
      <c r="AC36" s="9" t="s">
        <v>1843</v>
      </c>
    </row>
    <row r="37" spans="1:29">
      <c r="A37" s="9" t="s">
        <v>142</v>
      </c>
      <c r="B37" s="9" t="s">
        <v>87</v>
      </c>
      <c r="C37" s="9" t="s">
        <v>84</v>
      </c>
      <c r="D37" s="9" t="s">
        <v>82</v>
      </c>
      <c r="E37">
        <v>2022</v>
      </c>
      <c r="F37">
        <v>6332407</v>
      </c>
      <c r="G37">
        <v>1.4800000000000001E-2</v>
      </c>
      <c r="H37">
        <v>93719.62</v>
      </c>
      <c r="I37" s="9" t="s">
        <v>143</v>
      </c>
      <c r="J37" s="9" t="s">
        <v>144</v>
      </c>
      <c r="K37" s="9" t="s">
        <v>141</v>
      </c>
      <c r="L37">
        <v>7750976</v>
      </c>
      <c r="M37" s="8">
        <v>44435</v>
      </c>
      <c r="N37" s="9" t="s">
        <v>88</v>
      </c>
      <c r="O37">
        <v>1.4800000000000001E-2</v>
      </c>
      <c r="P37">
        <v>1</v>
      </c>
      <c r="Q37" s="9" t="s">
        <v>1824</v>
      </c>
      <c r="R37" s="9" t="s">
        <v>1838</v>
      </c>
      <c r="S37" s="9" t="s">
        <v>1845</v>
      </c>
      <c r="T37" s="9" t="s">
        <v>1838</v>
      </c>
      <c r="U37" s="9" t="s">
        <v>1840</v>
      </c>
      <c r="V37" s="9" t="s">
        <v>1838</v>
      </c>
      <c r="W37" s="9" t="s">
        <v>1838</v>
      </c>
      <c r="X37" s="9" t="s">
        <v>1838</v>
      </c>
      <c r="Y37" s="9" t="s">
        <v>1841</v>
      </c>
      <c r="Z37">
        <v>4842179.1619999995</v>
      </c>
      <c r="AA37">
        <v>12553041.036323847</v>
      </c>
      <c r="AB37" s="9" t="s">
        <v>1850</v>
      </c>
      <c r="AC37" s="9" t="s">
        <v>1843</v>
      </c>
    </row>
    <row r="38" spans="1:29">
      <c r="A38" s="9" t="s">
        <v>149</v>
      </c>
      <c r="B38" s="9" t="s">
        <v>150</v>
      </c>
      <c r="C38" s="9" t="s">
        <v>151</v>
      </c>
      <c r="D38" s="9" t="s">
        <v>71</v>
      </c>
      <c r="E38">
        <v>2022</v>
      </c>
      <c r="F38">
        <v>3170497</v>
      </c>
      <c r="G38">
        <v>1.83E-2</v>
      </c>
      <c r="H38">
        <v>58020.1</v>
      </c>
      <c r="I38" s="9" t="s">
        <v>152</v>
      </c>
      <c r="J38" s="9" t="s">
        <v>153</v>
      </c>
      <c r="K38" s="9" t="s">
        <v>154</v>
      </c>
      <c r="L38">
        <v>3826674</v>
      </c>
      <c r="M38" s="8">
        <v>44535</v>
      </c>
      <c r="N38" s="9" t="s">
        <v>151</v>
      </c>
      <c r="O38">
        <v>1.83E-2</v>
      </c>
      <c r="P38">
        <v>1</v>
      </c>
      <c r="Q38" s="9" t="s">
        <v>1822</v>
      </c>
      <c r="R38" s="9" t="s">
        <v>1838</v>
      </c>
      <c r="S38" s="9" t="s">
        <v>1839</v>
      </c>
      <c r="T38" s="9" t="s">
        <v>1838</v>
      </c>
      <c r="U38" s="9" t="s">
        <v>1840</v>
      </c>
      <c r="V38" s="9" t="s">
        <v>1838</v>
      </c>
      <c r="W38" s="9" t="s">
        <v>1838</v>
      </c>
      <c r="X38" s="9" t="s">
        <v>1838</v>
      </c>
      <c r="Y38" s="9" t="s">
        <v>1841</v>
      </c>
      <c r="Z38">
        <v>4842179.1619999995</v>
      </c>
      <c r="AA38">
        <v>12553041.036323847</v>
      </c>
      <c r="AB38" s="9" t="s">
        <v>1850</v>
      </c>
      <c r="AC38" s="9" t="s">
        <v>1838</v>
      </c>
    </row>
    <row r="39" spans="1:29">
      <c r="A39" s="9" t="s">
        <v>218</v>
      </c>
      <c r="B39" s="9" t="s">
        <v>137</v>
      </c>
      <c r="C39" s="9" t="s">
        <v>138</v>
      </c>
      <c r="D39" s="9" t="s">
        <v>71</v>
      </c>
      <c r="E39">
        <v>2023</v>
      </c>
      <c r="F39">
        <v>3214078</v>
      </c>
      <c r="G39">
        <v>1.8700000000000001E-2</v>
      </c>
      <c r="H39">
        <v>60103.26</v>
      </c>
      <c r="I39" s="9" t="s">
        <v>219</v>
      </c>
      <c r="J39" s="9" t="s">
        <v>220</v>
      </c>
      <c r="K39" s="9" t="s">
        <v>221</v>
      </c>
      <c r="L39">
        <v>3211023</v>
      </c>
      <c r="M39" s="8">
        <v>44036</v>
      </c>
      <c r="N39" s="9" t="s">
        <v>138</v>
      </c>
      <c r="O39">
        <v>1.8700000000000001E-2</v>
      </c>
      <c r="P39">
        <v>1</v>
      </c>
      <c r="Q39" s="9" t="s">
        <v>1822</v>
      </c>
      <c r="R39" s="9" t="s">
        <v>1838</v>
      </c>
      <c r="S39" s="9" t="s">
        <v>1839</v>
      </c>
      <c r="T39" s="9" t="s">
        <v>1838</v>
      </c>
      <c r="U39" s="9" t="s">
        <v>1840</v>
      </c>
      <c r="V39" s="9" t="s">
        <v>1838</v>
      </c>
      <c r="W39" s="9" t="s">
        <v>1838</v>
      </c>
      <c r="X39" s="9" t="s">
        <v>1838</v>
      </c>
      <c r="Y39" s="9" t="s">
        <v>1841</v>
      </c>
      <c r="Z39">
        <v>4842179.1619999995</v>
      </c>
      <c r="AA39">
        <v>12553041.036323847</v>
      </c>
      <c r="AB39" s="9" t="s">
        <v>1850</v>
      </c>
      <c r="AC39" s="9" t="s">
        <v>1838</v>
      </c>
    </row>
    <row r="40" spans="1:29">
      <c r="A40" s="9" t="s">
        <v>163</v>
      </c>
      <c r="B40" s="9" t="s">
        <v>69</v>
      </c>
      <c r="C40" s="9" t="s">
        <v>70</v>
      </c>
      <c r="D40" s="9" t="s">
        <v>97</v>
      </c>
      <c r="E40">
        <v>2023</v>
      </c>
      <c r="F40">
        <v>19873169</v>
      </c>
      <c r="G40">
        <v>2.06E-2</v>
      </c>
      <c r="H40">
        <v>46606.92</v>
      </c>
      <c r="I40" s="9" t="s">
        <v>164</v>
      </c>
      <c r="J40" s="9" t="s">
        <v>165</v>
      </c>
      <c r="K40" s="9" t="s">
        <v>166</v>
      </c>
      <c r="L40">
        <v>2103371</v>
      </c>
      <c r="M40" s="8">
        <v>44886</v>
      </c>
      <c r="N40" s="9" t="s">
        <v>70</v>
      </c>
      <c r="O40">
        <v>2.06E-2</v>
      </c>
      <c r="P40">
        <v>1</v>
      </c>
      <c r="Q40" s="9" t="s">
        <v>1821</v>
      </c>
      <c r="R40" s="9" t="s">
        <v>1838</v>
      </c>
      <c r="S40" s="9" t="s">
        <v>1839</v>
      </c>
      <c r="T40" s="9" t="s">
        <v>1845</v>
      </c>
      <c r="U40" s="9" t="s">
        <v>1840</v>
      </c>
      <c r="V40" s="9" t="s">
        <v>1838</v>
      </c>
      <c r="W40" s="9" t="s">
        <v>1838</v>
      </c>
      <c r="X40" s="9" t="s">
        <v>1838</v>
      </c>
      <c r="Y40" s="9" t="s">
        <v>1841</v>
      </c>
      <c r="Z40">
        <v>4842179.1619999995</v>
      </c>
      <c r="AA40">
        <v>12553041.036323847</v>
      </c>
      <c r="AB40" s="9" t="s">
        <v>1850</v>
      </c>
      <c r="AC40" s="9" t="s">
        <v>1843</v>
      </c>
    </row>
    <row r="41" spans="1:29">
      <c r="A41" s="9" t="s">
        <v>191</v>
      </c>
      <c r="B41" s="9" t="s">
        <v>69</v>
      </c>
      <c r="C41" s="9" t="s">
        <v>70</v>
      </c>
      <c r="D41" s="9" t="s">
        <v>97</v>
      </c>
      <c r="E41">
        <v>2024</v>
      </c>
      <c r="F41">
        <v>1593631</v>
      </c>
      <c r="G41">
        <v>2.06E-2</v>
      </c>
      <c r="H41">
        <v>32828.800000000003</v>
      </c>
      <c r="I41" s="9" t="s">
        <v>192</v>
      </c>
      <c r="J41" s="9" t="s">
        <v>193</v>
      </c>
      <c r="K41" s="9" t="s">
        <v>194</v>
      </c>
      <c r="L41">
        <v>1991987</v>
      </c>
      <c r="M41" s="8">
        <v>44913</v>
      </c>
      <c r="N41" s="9" t="s">
        <v>70</v>
      </c>
      <c r="O41">
        <v>2.06E-2</v>
      </c>
      <c r="P41">
        <v>1</v>
      </c>
      <c r="Q41" s="9" t="s">
        <v>1821</v>
      </c>
      <c r="R41" s="9" t="s">
        <v>1838</v>
      </c>
      <c r="S41" s="9" t="s">
        <v>1839</v>
      </c>
      <c r="T41" s="9" t="s">
        <v>1838</v>
      </c>
      <c r="U41" s="9" t="s">
        <v>1840</v>
      </c>
      <c r="V41" s="9" t="s">
        <v>1838</v>
      </c>
      <c r="W41" s="9" t="s">
        <v>1838</v>
      </c>
      <c r="X41" s="9" t="s">
        <v>1838</v>
      </c>
      <c r="Y41" s="9" t="s">
        <v>1841</v>
      </c>
      <c r="Z41">
        <v>4842179.1619999995</v>
      </c>
      <c r="AA41">
        <v>12553041.036323847</v>
      </c>
      <c r="AB41" s="9" t="s">
        <v>1850</v>
      </c>
      <c r="AC41" s="9" t="s">
        <v>1838</v>
      </c>
    </row>
    <row r="42" spans="1:29">
      <c r="A42" s="9" t="s">
        <v>265</v>
      </c>
      <c r="B42" s="9" t="s">
        <v>69</v>
      </c>
      <c r="C42" s="9" t="s">
        <v>70</v>
      </c>
      <c r="D42" s="9" t="s">
        <v>97</v>
      </c>
      <c r="E42">
        <v>2024</v>
      </c>
      <c r="F42">
        <v>5090424</v>
      </c>
      <c r="G42">
        <v>2.06E-2</v>
      </c>
      <c r="H42">
        <v>104862.73</v>
      </c>
      <c r="I42" s="9" t="s">
        <v>266</v>
      </c>
      <c r="J42" s="9" t="s">
        <v>267</v>
      </c>
      <c r="K42" s="9" t="s">
        <v>268</v>
      </c>
      <c r="L42">
        <v>5417849</v>
      </c>
      <c r="M42" s="8">
        <v>44739</v>
      </c>
      <c r="N42" s="9" t="s">
        <v>70</v>
      </c>
      <c r="O42">
        <v>2.06E-2</v>
      </c>
      <c r="P42">
        <v>1</v>
      </c>
      <c r="Q42" s="9" t="s">
        <v>1821</v>
      </c>
      <c r="R42" s="9" t="s">
        <v>1838</v>
      </c>
      <c r="S42" s="9" t="s">
        <v>1839</v>
      </c>
      <c r="T42" s="9" t="s">
        <v>1838</v>
      </c>
      <c r="U42" s="9" t="s">
        <v>1840</v>
      </c>
      <c r="V42" s="9" t="s">
        <v>1838</v>
      </c>
      <c r="W42" s="9" t="s">
        <v>1838</v>
      </c>
      <c r="X42" s="9" t="s">
        <v>1838</v>
      </c>
      <c r="Y42" s="9" t="s">
        <v>1841</v>
      </c>
      <c r="Z42">
        <v>4842179.1619999995</v>
      </c>
      <c r="AA42">
        <v>12553041.036323847</v>
      </c>
      <c r="AB42" s="9" t="s">
        <v>1850</v>
      </c>
      <c r="AC42" s="9" t="s">
        <v>1838</v>
      </c>
    </row>
    <row r="43" spans="1:29">
      <c r="A43" s="9" t="s">
        <v>167</v>
      </c>
      <c r="B43" s="9" t="s">
        <v>87</v>
      </c>
      <c r="C43" s="9" t="s">
        <v>88</v>
      </c>
      <c r="D43" s="9" t="s">
        <v>71</v>
      </c>
      <c r="E43">
        <v>2021</v>
      </c>
      <c r="F43">
        <v>7732008</v>
      </c>
      <c r="G43">
        <v>1.8499999999999999E-2</v>
      </c>
      <c r="H43">
        <v>143042.15</v>
      </c>
      <c r="I43" s="9" t="s">
        <v>168</v>
      </c>
      <c r="J43" s="9" t="s">
        <v>169</v>
      </c>
      <c r="K43" s="9" t="s">
        <v>170</v>
      </c>
      <c r="L43">
        <v>8080369</v>
      </c>
      <c r="M43" s="8">
        <v>44262</v>
      </c>
      <c r="N43" s="9" t="s">
        <v>88</v>
      </c>
      <c r="O43">
        <v>1.8499999999999999E-2</v>
      </c>
      <c r="P43">
        <v>1</v>
      </c>
      <c r="Q43" s="9" t="s">
        <v>1822</v>
      </c>
      <c r="R43" s="9" t="s">
        <v>1838</v>
      </c>
      <c r="S43" s="9" t="s">
        <v>1839</v>
      </c>
      <c r="T43" s="9" t="s">
        <v>1838</v>
      </c>
      <c r="U43" s="9" t="s">
        <v>1840</v>
      </c>
      <c r="V43" s="9" t="s">
        <v>1838</v>
      </c>
      <c r="W43" s="9" t="s">
        <v>1838</v>
      </c>
      <c r="X43" s="9" t="s">
        <v>1838</v>
      </c>
      <c r="Y43" s="9" t="s">
        <v>1841</v>
      </c>
      <c r="Z43">
        <v>4842179.1619999995</v>
      </c>
      <c r="AA43">
        <v>12553041.036323847</v>
      </c>
      <c r="AB43" s="9" t="s">
        <v>1850</v>
      </c>
      <c r="AC43" s="9" t="s">
        <v>1838</v>
      </c>
    </row>
    <row r="44" spans="1:29">
      <c r="A44" s="9" t="s">
        <v>171</v>
      </c>
      <c r="B44" s="9" t="s">
        <v>69</v>
      </c>
      <c r="C44" s="9" t="s">
        <v>70</v>
      </c>
      <c r="D44" s="9" t="s">
        <v>58</v>
      </c>
      <c r="E44">
        <v>2024</v>
      </c>
      <c r="F44">
        <v>1094966</v>
      </c>
      <c r="G44">
        <v>9.5999999999999992E-3</v>
      </c>
      <c r="H44">
        <v>10411.67</v>
      </c>
      <c r="I44" s="9" t="s">
        <v>172</v>
      </c>
      <c r="J44" s="9" t="s">
        <v>173</v>
      </c>
      <c r="K44" s="9" t="s">
        <v>174</v>
      </c>
      <c r="L44">
        <v>1036570</v>
      </c>
      <c r="M44" s="8">
        <v>45148</v>
      </c>
      <c r="N44" s="9" t="s">
        <v>70</v>
      </c>
      <c r="O44">
        <v>9.5999999999999992E-3</v>
      </c>
      <c r="P44">
        <v>1</v>
      </c>
      <c r="Q44" s="9" t="s">
        <v>1823</v>
      </c>
      <c r="R44" s="9" t="s">
        <v>1838</v>
      </c>
      <c r="S44" s="9" t="s">
        <v>1839</v>
      </c>
      <c r="T44" s="9" t="s">
        <v>1845</v>
      </c>
      <c r="U44" s="9" t="s">
        <v>1840</v>
      </c>
      <c r="V44" s="9" t="s">
        <v>1838</v>
      </c>
      <c r="W44" s="9" t="s">
        <v>1838</v>
      </c>
      <c r="X44" s="9" t="s">
        <v>1838</v>
      </c>
      <c r="Y44" s="9" t="s">
        <v>1841</v>
      </c>
      <c r="Z44">
        <v>4842179.1619999995</v>
      </c>
      <c r="AA44">
        <v>12553041.036323847</v>
      </c>
      <c r="AB44" s="9" t="s">
        <v>1850</v>
      </c>
      <c r="AC44" s="9" t="s">
        <v>1843</v>
      </c>
    </row>
    <row r="45" spans="1:29">
      <c r="A45" s="9" t="s">
        <v>175</v>
      </c>
      <c r="B45" s="9" t="s">
        <v>56</v>
      </c>
      <c r="C45" s="9" t="s">
        <v>57</v>
      </c>
      <c r="D45" s="9" t="s">
        <v>82</v>
      </c>
      <c r="E45">
        <v>2023</v>
      </c>
      <c r="F45">
        <v>14546372</v>
      </c>
      <c r="G45">
        <v>1.47E-2</v>
      </c>
      <c r="H45">
        <v>213831.67</v>
      </c>
      <c r="I45" s="9" t="s">
        <v>176</v>
      </c>
      <c r="J45" s="9" t="s">
        <v>177</v>
      </c>
      <c r="K45" s="9" t="s">
        <v>178</v>
      </c>
      <c r="L45">
        <v>17051056</v>
      </c>
      <c r="M45" s="8">
        <v>44823</v>
      </c>
      <c r="N45" s="9" t="s">
        <v>57</v>
      </c>
      <c r="O45">
        <v>1.47E-2</v>
      </c>
      <c r="P45">
        <v>1</v>
      </c>
      <c r="Q45" s="9" t="s">
        <v>1824</v>
      </c>
      <c r="R45" s="9" t="s">
        <v>1838</v>
      </c>
      <c r="S45" s="9" t="s">
        <v>1839</v>
      </c>
      <c r="T45" s="9" t="s">
        <v>1838</v>
      </c>
      <c r="U45" s="9" t="s">
        <v>1840</v>
      </c>
      <c r="V45" s="9" t="s">
        <v>1838</v>
      </c>
      <c r="W45" s="9" t="s">
        <v>1838</v>
      </c>
      <c r="X45" s="9" t="s">
        <v>1838</v>
      </c>
      <c r="Y45" s="9" t="s">
        <v>1841</v>
      </c>
      <c r="Z45">
        <v>4842179.1619999995</v>
      </c>
      <c r="AA45">
        <v>12553041.036323847</v>
      </c>
      <c r="AB45" s="9" t="s">
        <v>1850</v>
      </c>
      <c r="AC45" s="9" t="s">
        <v>1838</v>
      </c>
    </row>
    <row r="46" spans="1:29">
      <c r="A46" s="9" t="s">
        <v>187</v>
      </c>
      <c r="B46" s="9" t="s">
        <v>56</v>
      </c>
      <c r="C46" s="9" t="s">
        <v>57</v>
      </c>
      <c r="D46" s="9" t="s">
        <v>82</v>
      </c>
      <c r="E46">
        <v>2022</v>
      </c>
      <c r="F46">
        <v>6946489</v>
      </c>
      <c r="G46">
        <v>1.47E-2</v>
      </c>
      <c r="H46">
        <v>102113.39</v>
      </c>
      <c r="I46" s="9" t="s">
        <v>188</v>
      </c>
      <c r="J46" s="9" t="s">
        <v>189</v>
      </c>
      <c r="K46" s="9" t="s">
        <v>190</v>
      </c>
      <c r="L46">
        <v>7863772</v>
      </c>
      <c r="M46" s="8">
        <v>43809</v>
      </c>
      <c r="N46" s="9" t="s">
        <v>57</v>
      </c>
      <c r="O46">
        <v>1.47E-2</v>
      </c>
      <c r="P46">
        <v>1</v>
      </c>
      <c r="Q46" s="9" t="s">
        <v>1824</v>
      </c>
      <c r="R46" s="9" t="s">
        <v>1838</v>
      </c>
      <c r="S46" s="9" t="s">
        <v>1839</v>
      </c>
      <c r="T46" s="9" t="s">
        <v>1838</v>
      </c>
      <c r="U46" s="9" t="s">
        <v>1840</v>
      </c>
      <c r="V46" s="9" t="s">
        <v>1838</v>
      </c>
      <c r="W46" s="9" t="s">
        <v>1838</v>
      </c>
      <c r="X46" s="9" t="s">
        <v>1838</v>
      </c>
      <c r="Y46" s="9" t="s">
        <v>1841</v>
      </c>
      <c r="Z46">
        <v>4842179.1619999995</v>
      </c>
      <c r="AA46">
        <v>12553041.036323847</v>
      </c>
      <c r="AB46" s="9" t="s">
        <v>1850</v>
      </c>
      <c r="AC46" s="9" t="s">
        <v>1838</v>
      </c>
    </row>
    <row r="47" spans="1:29">
      <c r="A47" s="9" t="s">
        <v>226</v>
      </c>
      <c r="B47" s="9" t="s">
        <v>150</v>
      </c>
      <c r="C47" s="9" t="s">
        <v>84</v>
      </c>
      <c r="D47" s="9" t="s">
        <v>97</v>
      </c>
      <c r="E47">
        <v>2021</v>
      </c>
      <c r="F47">
        <v>1806945</v>
      </c>
      <c r="G47">
        <v>2.0299999999999999E-2</v>
      </c>
      <c r="H47">
        <v>36680.980000000003</v>
      </c>
      <c r="I47" s="9" t="s">
        <v>227</v>
      </c>
      <c r="J47" s="9" t="s">
        <v>228</v>
      </c>
      <c r="K47" s="9" t="s">
        <v>229</v>
      </c>
      <c r="L47">
        <v>2109708</v>
      </c>
      <c r="M47" s="8">
        <v>44390</v>
      </c>
      <c r="N47" s="9" t="s">
        <v>151</v>
      </c>
      <c r="O47">
        <v>2.0299999999999999E-2</v>
      </c>
      <c r="P47">
        <v>1</v>
      </c>
      <c r="Q47" s="9" t="s">
        <v>1821</v>
      </c>
      <c r="R47" s="9" t="s">
        <v>1838</v>
      </c>
      <c r="S47" s="9" t="s">
        <v>1845</v>
      </c>
      <c r="T47" s="9" t="s">
        <v>1838</v>
      </c>
      <c r="U47" s="9" t="s">
        <v>1840</v>
      </c>
      <c r="V47" s="9" t="s">
        <v>1838</v>
      </c>
      <c r="W47" s="9" t="s">
        <v>1838</v>
      </c>
      <c r="X47" s="9" t="s">
        <v>1838</v>
      </c>
      <c r="Y47" s="9" t="s">
        <v>1841</v>
      </c>
      <c r="Z47">
        <v>4842179.1619999995</v>
      </c>
      <c r="AA47">
        <v>12553041.036323847</v>
      </c>
      <c r="AB47" s="9" t="s">
        <v>1850</v>
      </c>
      <c r="AC47" s="9" t="s">
        <v>1843</v>
      </c>
    </row>
    <row r="48" spans="1:29">
      <c r="A48" s="9" t="s">
        <v>241</v>
      </c>
      <c r="B48" s="9" t="s">
        <v>150</v>
      </c>
      <c r="C48" s="9" t="s">
        <v>151</v>
      </c>
      <c r="D48" s="9" t="s">
        <v>82</v>
      </c>
      <c r="E48">
        <v>2023</v>
      </c>
      <c r="F48">
        <v>1951447</v>
      </c>
      <c r="G48">
        <v>1.46E-2</v>
      </c>
      <c r="H48">
        <v>28491.13</v>
      </c>
      <c r="I48" s="9" t="s">
        <v>242</v>
      </c>
      <c r="J48" s="9" t="s">
        <v>243</v>
      </c>
      <c r="K48" s="9" t="s">
        <v>244</v>
      </c>
      <c r="L48">
        <v>2437222</v>
      </c>
      <c r="M48" s="8">
        <v>44723</v>
      </c>
      <c r="N48" s="9" t="s">
        <v>151</v>
      </c>
      <c r="O48">
        <v>1.46E-2</v>
      </c>
      <c r="P48">
        <v>1</v>
      </c>
      <c r="Q48" s="9" t="s">
        <v>1824</v>
      </c>
      <c r="R48" s="9" t="s">
        <v>1838</v>
      </c>
      <c r="S48" s="9" t="s">
        <v>1839</v>
      </c>
      <c r="T48" s="9" t="s">
        <v>1838</v>
      </c>
      <c r="U48" s="9" t="s">
        <v>1840</v>
      </c>
      <c r="V48" s="9" t="s">
        <v>1838</v>
      </c>
      <c r="W48" s="9" t="s">
        <v>1838</v>
      </c>
      <c r="X48" s="9" t="s">
        <v>1838</v>
      </c>
      <c r="Y48" s="9" t="s">
        <v>1841</v>
      </c>
      <c r="Z48">
        <v>4842179.1619999995</v>
      </c>
      <c r="AA48">
        <v>12553041.036323847</v>
      </c>
      <c r="AB48" s="9" t="s">
        <v>1850</v>
      </c>
      <c r="AC48" s="9" t="s">
        <v>1838</v>
      </c>
    </row>
    <row r="49" spans="1:29">
      <c r="A49" s="9" t="s">
        <v>269</v>
      </c>
      <c r="B49" s="9" t="s">
        <v>150</v>
      </c>
      <c r="C49" s="9" t="s">
        <v>151</v>
      </c>
      <c r="D49" s="9" t="s">
        <v>82</v>
      </c>
      <c r="E49">
        <v>2024</v>
      </c>
      <c r="F49">
        <v>8856806</v>
      </c>
      <c r="G49">
        <v>1.46E-2</v>
      </c>
      <c r="H49">
        <v>129309.37</v>
      </c>
      <c r="I49" s="9" t="s">
        <v>270</v>
      </c>
      <c r="J49" s="9" t="s">
        <v>271</v>
      </c>
      <c r="K49" s="9" t="s">
        <v>272</v>
      </c>
      <c r="L49">
        <v>10286013</v>
      </c>
      <c r="M49" s="8">
        <v>45085</v>
      </c>
      <c r="N49" s="9" t="s">
        <v>151</v>
      </c>
      <c r="O49">
        <v>1.46E-2</v>
      </c>
      <c r="P49">
        <v>1</v>
      </c>
      <c r="Q49" s="9" t="s">
        <v>1824</v>
      </c>
      <c r="R49" s="9" t="s">
        <v>1838</v>
      </c>
      <c r="S49" s="9" t="s">
        <v>1839</v>
      </c>
      <c r="T49" s="9" t="s">
        <v>1838</v>
      </c>
      <c r="U49" s="9" t="s">
        <v>1840</v>
      </c>
      <c r="V49" s="9" t="s">
        <v>1838</v>
      </c>
      <c r="W49" s="9" t="s">
        <v>1838</v>
      </c>
      <c r="X49" s="9" t="s">
        <v>1838</v>
      </c>
      <c r="Y49" s="9" t="s">
        <v>1841</v>
      </c>
      <c r="Z49">
        <v>4842179.1619999995</v>
      </c>
      <c r="AA49">
        <v>12553041.036323847</v>
      </c>
      <c r="AB49" s="9" t="s">
        <v>1850</v>
      </c>
      <c r="AC49" s="9" t="s">
        <v>1838</v>
      </c>
    </row>
    <row r="50" spans="1:29">
      <c r="A50" s="9" t="s">
        <v>214</v>
      </c>
      <c r="B50" s="9" t="s">
        <v>101</v>
      </c>
      <c r="C50" s="9" t="s">
        <v>102</v>
      </c>
      <c r="D50" s="9" t="s">
        <v>58</v>
      </c>
      <c r="E50">
        <v>2024</v>
      </c>
      <c r="F50">
        <v>2717984</v>
      </c>
      <c r="G50">
        <v>9.9000000000000008E-3</v>
      </c>
      <c r="H50">
        <v>26908.04</v>
      </c>
      <c r="I50" s="9" t="s">
        <v>215</v>
      </c>
      <c r="J50" s="9" t="s">
        <v>216</v>
      </c>
      <c r="K50" s="9" t="s">
        <v>217</v>
      </c>
      <c r="L50">
        <v>2780861</v>
      </c>
      <c r="M50" s="8">
        <v>45126</v>
      </c>
      <c r="N50" s="9" t="s">
        <v>102</v>
      </c>
      <c r="O50">
        <v>9.9000000000000008E-3</v>
      </c>
      <c r="P50">
        <v>2</v>
      </c>
      <c r="Q50" s="9" t="s">
        <v>1823</v>
      </c>
      <c r="R50" s="9" t="s">
        <v>1838</v>
      </c>
      <c r="S50" s="9" t="s">
        <v>1839</v>
      </c>
      <c r="T50" s="9" t="s">
        <v>1838</v>
      </c>
      <c r="U50" s="9" t="s">
        <v>1844</v>
      </c>
      <c r="V50" s="9" t="s">
        <v>1838</v>
      </c>
      <c r="W50" s="9" t="s">
        <v>1838</v>
      </c>
      <c r="X50" s="9" t="s">
        <v>1838</v>
      </c>
      <c r="Y50" s="9" t="s">
        <v>1841</v>
      </c>
      <c r="Z50">
        <v>4842179.1619999995</v>
      </c>
      <c r="AA50">
        <v>12553041.036323847</v>
      </c>
      <c r="AB50" s="9" t="s">
        <v>1850</v>
      </c>
      <c r="AC50" s="9" t="s">
        <v>1843</v>
      </c>
    </row>
    <row r="51" spans="1:29">
      <c r="A51" s="9" t="s">
        <v>214</v>
      </c>
      <c r="B51" s="9" t="s">
        <v>150</v>
      </c>
      <c r="C51" s="9" t="s">
        <v>151</v>
      </c>
      <c r="D51" s="9" t="s">
        <v>97</v>
      </c>
      <c r="E51">
        <v>2021</v>
      </c>
      <c r="F51">
        <v>1996935</v>
      </c>
      <c r="G51">
        <v>2.0299999999999999E-2</v>
      </c>
      <c r="H51">
        <v>40537.78</v>
      </c>
      <c r="I51" s="9" t="s">
        <v>390</v>
      </c>
      <c r="J51" s="9" t="s">
        <v>391</v>
      </c>
      <c r="K51" s="9" t="s">
        <v>392</v>
      </c>
      <c r="L51">
        <v>1901745</v>
      </c>
      <c r="M51" s="8">
        <v>45627</v>
      </c>
      <c r="N51" s="9" t="s">
        <v>151</v>
      </c>
      <c r="O51">
        <v>2.0299999999999999E-2</v>
      </c>
      <c r="P51">
        <v>2</v>
      </c>
      <c r="Q51" s="9" t="s">
        <v>1821</v>
      </c>
      <c r="R51" s="9" t="s">
        <v>1838</v>
      </c>
      <c r="S51" s="9" t="s">
        <v>1839</v>
      </c>
      <c r="T51" s="9" t="s">
        <v>1838</v>
      </c>
      <c r="U51" s="9" t="s">
        <v>1844</v>
      </c>
      <c r="V51" s="9" t="s">
        <v>1838</v>
      </c>
      <c r="W51" s="9" t="s">
        <v>1838</v>
      </c>
      <c r="X51" s="9" t="s">
        <v>1838</v>
      </c>
      <c r="Y51" s="9" t="s">
        <v>1841</v>
      </c>
      <c r="Z51">
        <v>4842179.1619999995</v>
      </c>
      <c r="AA51">
        <v>12553041.036323847</v>
      </c>
      <c r="AB51" s="9" t="s">
        <v>1850</v>
      </c>
      <c r="AC51" s="9" t="s">
        <v>1843</v>
      </c>
    </row>
    <row r="52" spans="1:29">
      <c r="A52" s="9" t="s">
        <v>261</v>
      </c>
      <c r="B52" s="9" t="s">
        <v>101</v>
      </c>
      <c r="C52" s="9" t="s">
        <v>102</v>
      </c>
      <c r="D52" s="9" t="s">
        <v>71</v>
      </c>
      <c r="E52">
        <v>2023</v>
      </c>
      <c r="F52">
        <v>5295401</v>
      </c>
      <c r="G52">
        <v>1.89E-2</v>
      </c>
      <c r="H52">
        <v>100083.08</v>
      </c>
      <c r="I52" s="9" t="s">
        <v>262</v>
      </c>
      <c r="J52" s="9" t="s">
        <v>263</v>
      </c>
      <c r="K52" s="9" t="s">
        <v>264</v>
      </c>
      <c r="L52">
        <v>6458804</v>
      </c>
      <c r="M52" s="8">
        <v>44611</v>
      </c>
      <c r="N52" s="9" t="s">
        <v>102</v>
      </c>
      <c r="O52">
        <v>1.89E-2</v>
      </c>
      <c r="P52">
        <v>1</v>
      </c>
      <c r="Q52" s="9" t="s">
        <v>1822</v>
      </c>
      <c r="R52" s="9" t="s">
        <v>1838</v>
      </c>
      <c r="S52" s="9" t="s">
        <v>1839</v>
      </c>
      <c r="T52" s="9" t="s">
        <v>1838</v>
      </c>
      <c r="U52" s="9" t="s">
        <v>1840</v>
      </c>
      <c r="V52" s="9" t="s">
        <v>1838</v>
      </c>
      <c r="W52" s="9" t="s">
        <v>1838</v>
      </c>
      <c r="X52" s="9" t="s">
        <v>1838</v>
      </c>
      <c r="Y52" s="9" t="s">
        <v>1841</v>
      </c>
      <c r="Z52">
        <v>4842179.1619999995</v>
      </c>
      <c r="AA52">
        <v>12553041.036323847</v>
      </c>
      <c r="AB52" s="9" t="s">
        <v>1850</v>
      </c>
      <c r="AC52" s="9" t="s">
        <v>1838</v>
      </c>
    </row>
    <row r="53" spans="1:29">
      <c r="A53" s="9" t="s">
        <v>249</v>
      </c>
      <c r="B53" s="9" t="s">
        <v>56</v>
      </c>
      <c r="C53" s="9" t="s">
        <v>57</v>
      </c>
      <c r="D53" s="9" t="s">
        <v>51</v>
      </c>
      <c r="E53">
        <v>2024</v>
      </c>
      <c r="F53">
        <v>710428</v>
      </c>
      <c r="G53">
        <v>1.24E-2</v>
      </c>
      <c r="H53">
        <v>8809.31</v>
      </c>
      <c r="I53" s="9" t="s">
        <v>250</v>
      </c>
      <c r="J53" s="9" t="s">
        <v>251</v>
      </c>
      <c r="K53" s="9" t="s">
        <v>252</v>
      </c>
      <c r="L53">
        <v>669578</v>
      </c>
      <c r="M53" s="8">
        <v>45487</v>
      </c>
      <c r="N53" s="9" t="s">
        <v>57</v>
      </c>
      <c r="O53">
        <v>1.24E-2</v>
      </c>
      <c r="P53">
        <v>1</v>
      </c>
      <c r="Q53" s="9" t="s">
        <v>1820</v>
      </c>
      <c r="R53" s="9" t="s">
        <v>1838</v>
      </c>
      <c r="S53" s="9" t="s">
        <v>1839</v>
      </c>
      <c r="T53" s="9" t="s">
        <v>1838</v>
      </c>
      <c r="U53" s="9" t="s">
        <v>1840</v>
      </c>
      <c r="V53" s="9" t="s">
        <v>1838</v>
      </c>
      <c r="W53" s="9" t="s">
        <v>1838</v>
      </c>
      <c r="X53" s="9" t="s">
        <v>1838</v>
      </c>
      <c r="Y53" s="9" t="s">
        <v>1841</v>
      </c>
      <c r="Z53">
        <v>4842179.1619999995</v>
      </c>
      <c r="AA53">
        <v>12553041.036323847</v>
      </c>
      <c r="AB53" s="9" t="s">
        <v>1850</v>
      </c>
      <c r="AC53" s="9" t="s">
        <v>1838</v>
      </c>
    </row>
    <row r="54" spans="1:29">
      <c r="A54" s="9" t="s">
        <v>253</v>
      </c>
      <c r="B54" s="9" t="s">
        <v>87</v>
      </c>
      <c r="C54" s="9" t="s">
        <v>88</v>
      </c>
      <c r="D54" s="9" t="s">
        <v>97</v>
      </c>
      <c r="E54">
        <v>2022</v>
      </c>
      <c r="F54">
        <v>1973692</v>
      </c>
      <c r="G54">
        <v>2.0500000000000001E-2</v>
      </c>
      <c r="H54">
        <v>40460.69</v>
      </c>
      <c r="I54" s="9" t="s">
        <v>254</v>
      </c>
      <c r="J54" s="9" t="s">
        <v>255</v>
      </c>
      <c r="K54" s="9" t="s">
        <v>256</v>
      </c>
      <c r="L54">
        <v>1944690</v>
      </c>
      <c r="M54" s="8">
        <v>45723</v>
      </c>
      <c r="N54" s="9" t="s">
        <v>88</v>
      </c>
      <c r="O54">
        <v>2.0500000000000001E-2</v>
      </c>
      <c r="P54">
        <v>1</v>
      </c>
      <c r="Q54" s="9" t="s">
        <v>1821</v>
      </c>
      <c r="R54" s="9" t="s">
        <v>1838</v>
      </c>
      <c r="S54" s="9" t="s">
        <v>1839</v>
      </c>
      <c r="T54" s="9" t="s">
        <v>1838</v>
      </c>
      <c r="U54" s="9" t="s">
        <v>1840</v>
      </c>
      <c r="V54" s="9" t="s">
        <v>1838</v>
      </c>
      <c r="W54" s="9" t="s">
        <v>1838</v>
      </c>
      <c r="X54" s="9" t="s">
        <v>1838</v>
      </c>
      <c r="Y54" s="9" t="s">
        <v>1841</v>
      </c>
      <c r="Z54">
        <v>4842179.1619999995</v>
      </c>
      <c r="AA54">
        <v>12553041.036323847</v>
      </c>
      <c r="AB54" s="9" t="s">
        <v>1850</v>
      </c>
      <c r="AC54" s="9" t="s">
        <v>1838</v>
      </c>
    </row>
    <row r="55" spans="1:29">
      <c r="A55" s="9" t="s">
        <v>273</v>
      </c>
      <c r="B55" s="9" t="s">
        <v>49</v>
      </c>
      <c r="C55" s="9" t="s">
        <v>50</v>
      </c>
      <c r="D55" s="9" t="s">
        <v>51</v>
      </c>
      <c r="E55">
        <v>2024</v>
      </c>
      <c r="F55">
        <v>538414</v>
      </c>
      <c r="G55">
        <v>1.21E-2</v>
      </c>
      <c r="H55">
        <v>6514.81</v>
      </c>
      <c r="I55" s="9" t="s">
        <v>274</v>
      </c>
      <c r="J55" s="9" t="s">
        <v>275</v>
      </c>
      <c r="K55" s="9" t="s">
        <v>276</v>
      </c>
      <c r="L55">
        <v>517564</v>
      </c>
      <c r="M55" s="8">
        <v>45445</v>
      </c>
      <c r="N55" s="9" t="s">
        <v>50</v>
      </c>
      <c r="O55">
        <v>1.21E-2</v>
      </c>
      <c r="P55">
        <v>1</v>
      </c>
      <c r="Q55" s="9" t="s">
        <v>1820</v>
      </c>
      <c r="R55" s="9" t="s">
        <v>1838</v>
      </c>
      <c r="S55" s="9" t="s">
        <v>1839</v>
      </c>
      <c r="T55" s="9" t="s">
        <v>1838</v>
      </c>
      <c r="U55" s="9" t="s">
        <v>1840</v>
      </c>
      <c r="V55" s="9" t="s">
        <v>1838</v>
      </c>
      <c r="W55" s="9" t="s">
        <v>1838</v>
      </c>
      <c r="X55" s="9" t="s">
        <v>1838</v>
      </c>
      <c r="Y55" s="9" t="s">
        <v>1841</v>
      </c>
      <c r="Z55">
        <v>4842179.1619999995</v>
      </c>
      <c r="AA55">
        <v>12553041.036323847</v>
      </c>
      <c r="AB55" s="9" t="s">
        <v>1850</v>
      </c>
      <c r="AC55" s="9" t="s">
        <v>1838</v>
      </c>
    </row>
    <row r="56" spans="1:29">
      <c r="A56" s="9" t="s">
        <v>277</v>
      </c>
      <c r="B56" s="9" t="s">
        <v>69</v>
      </c>
      <c r="C56" s="9" t="s">
        <v>70</v>
      </c>
      <c r="D56" s="9" t="s">
        <v>82</v>
      </c>
      <c r="E56">
        <v>2022</v>
      </c>
      <c r="F56">
        <v>7048885</v>
      </c>
      <c r="G56">
        <v>1.49E-2</v>
      </c>
      <c r="H56">
        <v>105028.39</v>
      </c>
      <c r="I56" s="9" t="s">
        <v>278</v>
      </c>
      <c r="J56" s="9" t="s">
        <v>279</v>
      </c>
      <c r="K56" s="9" t="s">
        <v>280</v>
      </c>
      <c r="L56">
        <v>8780642</v>
      </c>
      <c r="M56" s="8">
        <v>44691</v>
      </c>
      <c r="N56" s="9" t="s">
        <v>70</v>
      </c>
      <c r="O56">
        <v>1.49E-2</v>
      </c>
      <c r="P56">
        <v>1</v>
      </c>
      <c r="Q56" s="9" t="s">
        <v>1824</v>
      </c>
      <c r="R56" s="9" t="s">
        <v>1838</v>
      </c>
      <c r="S56" s="9" t="s">
        <v>1839</v>
      </c>
      <c r="T56" s="9" t="s">
        <v>1838</v>
      </c>
      <c r="U56" s="9" t="s">
        <v>1840</v>
      </c>
      <c r="V56" s="9" t="s">
        <v>1838</v>
      </c>
      <c r="W56" s="9" t="s">
        <v>1838</v>
      </c>
      <c r="X56" s="9" t="s">
        <v>1838</v>
      </c>
      <c r="Y56" s="9" t="s">
        <v>1841</v>
      </c>
      <c r="Z56">
        <v>4842179.1619999995</v>
      </c>
      <c r="AA56">
        <v>12553041.036323847</v>
      </c>
      <c r="AB56" s="9" t="s">
        <v>1850</v>
      </c>
      <c r="AC56" s="9" t="s">
        <v>1838</v>
      </c>
    </row>
    <row r="57" spans="1:29">
      <c r="A57" s="9" t="s">
        <v>281</v>
      </c>
      <c r="B57" s="9" t="s">
        <v>69</v>
      </c>
      <c r="C57" s="9" t="s">
        <v>70</v>
      </c>
      <c r="D57" s="9" t="s">
        <v>71</v>
      </c>
      <c r="E57">
        <v>2024</v>
      </c>
      <c r="F57">
        <v>8060570</v>
      </c>
      <c r="G57">
        <v>1.8599999999999998E-2</v>
      </c>
      <c r="H57">
        <v>149926.6</v>
      </c>
      <c r="I57" s="9" t="s">
        <v>282</v>
      </c>
      <c r="J57" s="9" t="s">
        <v>283</v>
      </c>
      <c r="K57" s="9" t="s">
        <v>284</v>
      </c>
      <c r="L57">
        <v>8965307</v>
      </c>
      <c r="M57" s="8">
        <v>45214</v>
      </c>
      <c r="N57" s="9" t="s">
        <v>70</v>
      </c>
      <c r="O57">
        <v>1.8599999999999998E-2</v>
      </c>
      <c r="P57">
        <v>1</v>
      </c>
      <c r="Q57" s="9" t="s">
        <v>1822</v>
      </c>
      <c r="R57" s="9" t="s">
        <v>1838</v>
      </c>
      <c r="S57" s="9" t="s">
        <v>1839</v>
      </c>
      <c r="T57" s="9" t="s">
        <v>1838</v>
      </c>
      <c r="U57" s="9" t="s">
        <v>1840</v>
      </c>
      <c r="V57" s="9" t="s">
        <v>1838</v>
      </c>
      <c r="W57" s="9" t="s">
        <v>1838</v>
      </c>
      <c r="X57" s="9" t="s">
        <v>1838</v>
      </c>
      <c r="Y57" s="9" t="s">
        <v>1841</v>
      </c>
      <c r="Z57">
        <v>4842179.1619999995</v>
      </c>
      <c r="AA57">
        <v>12553041.036323847</v>
      </c>
      <c r="AB57" s="9" t="s">
        <v>1850</v>
      </c>
      <c r="AC57" s="9" t="s">
        <v>1838</v>
      </c>
    </row>
    <row r="58" spans="1:29">
      <c r="A58" s="9" t="s">
        <v>285</v>
      </c>
      <c r="B58" s="9" t="s">
        <v>137</v>
      </c>
      <c r="C58" s="9" t="s">
        <v>138</v>
      </c>
      <c r="D58" s="9" t="s">
        <v>97</v>
      </c>
      <c r="E58">
        <v>2023</v>
      </c>
      <c r="F58">
        <v>1710342</v>
      </c>
      <c r="G58">
        <v>2.07E-2</v>
      </c>
      <c r="H58">
        <v>35404.080000000002</v>
      </c>
      <c r="I58" s="9" t="s">
        <v>286</v>
      </c>
      <c r="J58" s="9" t="s">
        <v>287</v>
      </c>
      <c r="K58" s="9" t="s">
        <v>268</v>
      </c>
      <c r="L58">
        <v>2083829</v>
      </c>
      <c r="M58" s="8">
        <v>44500</v>
      </c>
      <c r="N58" s="9" t="s">
        <v>138</v>
      </c>
      <c r="O58">
        <v>2.07E-2</v>
      </c>
      <c r="P58">
        <v>1</v>
      </c>
      <c r="Q58" s="9" t="s">
        <v>1821</v>
      </c>
      <c r="R58" s="9" t="s">
        <v>1838</v>
      </c>
      <c r="S58" s="9" t="s">
        <v>1839</v>
      </c>
      <c r="T58" s="9" t="s">
        <v>1838</v>
      </c>
      <c r="U58" s="9" t="s">
        <v>1840</v>
      </c>
      <c r="V58" s="9" t="s">
        <v>1838</v>
      </c>
      <c r="W58" s="9" t="s">
        <v>1838</v>
      </c>
      <c r="X58" s="9" t="s">
        <v>1838</v>
      </c>
      <c r="Y58" s="9" t="s">
        <v>1841</v>
      </c>
      <c r="Z58">
        <v>4842179.1619999995</v>
      </c>
      <c r="AA58">
        <v>12553041.036323847</v>
      </c>
      <c r="AB58" s="9" t="s">
        <v>1850</v>
      </c>
      <c r="AC58" s="9" t="s">
        <v>1838</v>
      </c>
    </row>
    <row r="59" spans="1:29">
      <c r="A59" s="9" t="s">
        <v>288</v>
      </c>
      <c r="B59" s="9" t="s">
        <v>69</v>
      </c>
      <c r="C59" s="9" t="s">
        <v>70</v>
      </c>
      <c r="D59" s="9" t="s">
        <v>97</v>
      </c>
      <c r="E59">
        <v>2022</v>
      </c>
      <c r="F59">
        <v>1417906</v>
      </c>
      <c r="G59">
        <v>2.06E-2</v>
      </c>
      <c r="H59">
        <v>29208.86</v>
      </c>
      <c r="I59" s="9" t="s">
        <v>289</v>
      </c>
      <c r="J59" s="9" t="s">
        <v>290</v>
      </c>
      <c r="K59" s="9" t="s">
        <v>291</v>
      </c>
      <c r="L59">
        <v>1345968</v>
      </c>
      <c r="M59" s="8">
        <v>44390</v>
      </c>
      <c r="N59" s="9" t="s">
        <v>70</v>
      </c>
      <c r="O59">
        <v>2.06E-2</v>
      </c>
      <c r="P59">
        <v>1</v>
      </c>
      <c r="Q59" s="9" t="s">
        <v>1821</v>
      </c>
      <c r="R59" s="9" t="s">
        <v>1838</v>
      </c>
      <c r="S59" s="9" t="s">
        <v>1839</v>
      </c>
      <c r="T59" s="9" t="s">
        <v>1838</v>
      </c>
      <c r="U59" s="9" t="s">
        <v>1840</v>
      </c>
      <c r="V59" s="9" t="s">
        <v>1838</v>
      </c>
      <c r="W59" s="9" t="s">
        <v>1838</v>
      </c>
      <c r="X59" s="9" t="s">
        <v>1838</v>
      </c>
      <c r="Y59" s="9" t="s">
        <v>1841</v>
      </c>
      <c r="Z59">
        <v>4842179.1619999995</v>
      </c>
      <c r="AA59">
        <v>12553041.036323847</v>
      </c>
      <c r="AB59" s="9" t="s">
        <v>1850</v>
      </c>
      <c r="AC59" s="9" t="s">
        <v>1838</v>
      </c>
    </row>
    <row r="60" spans="1:29">
      <c r="A60" s="9" t="s">
        <v>292</v>
      </c>
      <c r="B60" s="9" t="s">
        <v>69</v>
      </c>
      <c r="C60" s="9" t="s">
        <v>70</v>
      </c>
      <c r="D60" s="9" t="s">
        <v>82</v>
      </c>
      <c r="E60">
        <v>2023</v>
      </c>
      <c r="F60">
        <v>3038341</v>
      </c>
      <c r="G60">
        <v>1.49E-2</v>
      </c>
      <c r="H60">
        <v>45271.28</v>
      </c>
      <c r="I60" s="9" t="s">
        <v>293</v>
      </c>
      <c r="J60" s="9" t="s">
        <v>294</v>
      </c>
      <c r="K60" s="9" t="s">
        <v>217</v>
      </c>
      <c r="L60">
        <v>3707808</v>
      </c>
      <c r="M60" s="8">
        <v>44284</v>
      </c>
      <c r="N60" s="9" t="s">
        <v>70</v>
      </c>
      <c r="O60">
        <v>1.49E-2</v>
      </c>
      <c r="P60">
        <v>1</v>
      </c>
      <c r="Q60" s="9" t="s">
        <v>1824</v>
      </c>
      <c r="R60" s="9" t="s">
        <v>1838</v>
      </c>
      <c r="S60" s="9" t="s">
        <v>1839</v>
      </c>
      <c r="T60" s="9" t="s">
        <v>1838</v>
      </c>
      <c r="U60" s="9" t="s">
        <v>1840</v>
      </c>
      <c r="V60" s="9" t="s">
        <v>1838</v>
      </c>
      <c r="W60" s="9" t="s">
        <v>1838</v>
      </c>
      <c r="X60" s="9" t="s">
        <v>1838</v>
      </c>
      <c r="Y60" s="9" t="s">
        <v>1841</v>
      </c>
      <c r="Z60">
        <v>4842179.1619999995</v>
      </c>
      <c r="AA60">
        <v>12553041.036323847</v>
      </c>
      <c r="AB60" s="9" t="s">
        <v>1850</v>
      </c>
      <c r="AC60" s="9" t="s">
        <v>1838</v>
      </c>
    </row>
    <row r="61" spans="1:29">
      <c r="A61" s="9" t="s">
        <v>295</v>
      </c>
      <c r="B61" s="9" t="s">
        <v>49</v>
      </c>
      <c r="C61" s="9" t="s">
        <v>50</v>
      </c>
      <c r="D61" s="9" t="s">
        <v>58</v>
      </c>
      <c r="E61">
        <v>2023</v>
      </c>
      <c r="F61">
        <v>2180676</v>
      </c>
      <c r="G61">
        <v>9.1000000000000004E-3</v>
      </c>
      <c r="H61">
        <v>19844.150000000001</v>
      </c>
      <c r="I61" s="9" t="s">
        <v>296</v>
      </c>
      <c r="J61" s="9" t="s">
        <v>297</v>
      </c>
      <c r="K61" s="9" t="s">
        <v>298</v>
      </c>
      <c r="L61">
        <v>2687211</v>
      </c>
      <c r="M61" s="8">
        <v>45257</v>
      </c>
      <c r="N61" s="9" t="s">
        <v>50</v>
      </c>
      <c r="O61">
        <v>9.1000000000000004E-3</v>
      </c>
      <c r="P61">
        <v>1</v>
      </c>
      <c r="Q61" s="9" t="s">
        <v>1823</v>
      </c>
      <c r="R61" s="9" t="s">
        <v>1838</v>
      </c>
      <c r="S61" s="9" t="s">
        <v>1839</v>
      </c>
      <c r="T61" s="9" t="s">
        <v>1838</v>
      </c>
      <c r="U61" s="9" t="s">
        <v>1840</v>
      </c>
      <c r="V61" s="9" t="s">
        <v>1838</v>
      </c>
      <c r="W61" s="9" t="s">
        <v>1838</v>
      </c>
      <c r="X61" s="9" t="s">
        <v>1838</v>
      </c>
      <c r="Y61" s="9" t="s">
        <v>1841</v>
      </c>
      <c r="Z61">
        <v>4842179.1619999995</v>
      </c>
      <c r="AA61">
        <v>12553041.036323847</v>
      </c>
      <c r="AB61" s="9" t="s">
        <v>1850</v>
      </c>
      <c r="AC61" s="9" t="s">
        <v>1838</v>
      </c>
    </row>
    <row r="62" spans="1:29">
      <c r="A62" s="9" t="s">
        <v>299</v>
      </c>
      <c r="B62" s="9" t="s">
        <v>56</v>
      </c>
      <c r="C62" s="9" t="s">
        <v>57</v>
      </c>
      <c r="D62" s="9" t="s">
        <v>58</v>
      </c>
      <c r="E62">
        <v>2022</v>
      </c>
      <c r="F62">
        <v>3174370</v>
      </c>
      <c r="G62">
        <v>9.4000000000000004E-3</v>
      </c>
      <c r="H62">
        <v>29839.08</v>
      </c>
      <c r="I62" s="9" t="s">
        <v>300</v>
      </c>
      <c r="J62" s="9" t="s">
        <v>301</v>
      </c>
      <c r="K62" s="9" t="s">
        <v>302</v>
      </c>
      <c r="L62">
        <v>2967319</v>
      </c>
      <c r="M62" s="8">
        <v>44970</v>
      </c>
      <c r="N62" s="9" t="s">
        <v>57</v>
      </c>
      <c r="O62">
        <v>9.4000000000000004E-3</v>
      </c>
      <c r="P62">
        <v>1</v>
      </c>
      <c r="Q62" s="9" t="s">
        <v>1823</v>
      </c>
      <c r="R62" s="9" t="s">
        <v>1838</v>
      </c>
      <c r="S62" s="9" t="s">
        <v>1839</v>
      </c>
      <c r="T62" s="9" t="s">
        <v>1838</v>
      </c>
      <c r="U62" s="9" t="s">
        <v>1840</v>
      </c>
      <c r="V62" s="9" t="s">
        <v>1838</v>
      </c>
      <c r="W62" s="9" t="s">
        <v>1838</v>
      </c>
      <c r="X62" s="9" t="s">
        <v>1838</v>
      </c>
      <c r="Y62" s="9" t="s">
        <v>1841</v>
      </c>
      <c r="Z62">
        <v>4842179.1619999995</v>
      </c>
      <c r="AA62">
        <v>12553041.036323847</v>
      </c>
      <c r="AB62" s="9" t="s">
        <v>1850</v>
      </c>
      <c r="AC62" s="9" t="s">
        <v>1838</v>
      </c>
    </row>
    <row r="63" spans="1:29">
      <c r="A63" s="9" t="s">
        <v>303</v>
      </c>
      <c r="B63" s="9" t="s">
        <v>56</v>
      </c>
      <c r="C63" s="9" t="s">
        <v>84</v>
      </c>
      <c r="D63" s="9" t="s">
        <v>71</v>
      </c>
      <c r="E63">
        <v>2021</v>
      </c>
      <c r="F63">
        <v>4229631</v>
      </c>
      <c r="G63">
        <v>1.84E-2</v>
      </c>
      <c r="H63">
        <v>77825.210000000006</v>
      </c>
      <c r="I63" s="9" t="s">
        <v>304</v>
      </c>
      <c r="J63" s="9" t="s">
        <v>305</v>
      </c>
      <c r="K63" s="9" t="s">
        <v>306</v>
      </c>
      <c r="L63">
        <v>4674732</v>
      </c>
      <c r="M63" s="8">
        <v>44420</v>
      </c>
      <c r="N63" s="9" t="s">
        <v>57</v>
      </c>
      <c r="O63">
        <v>1.84E-2</v>
      </c>
      <c r="P63">
        <v>1</v>
      </c>
      <c r="Q63" s="9" t="s">
        <v>1822</v>
      </c>
      <c r="R63" s="9" t="s">
        <v>1838</v>
      </c>
      <c r="S63" s="9" t="s">
        <v>1845</v>
      </c>
      <c r="T63" s="9" t="s">
        <v>1838</v>
      </c>
      <c r="U63" s="9" t="s">
        <v>1840</v>
      </c>
      <c r="V63" s="9" t="s">
        <v>1838</v>
      </c>
      <c r="W63" s="9" t="s">
        <v>1838</v>
      </c>
      <c r="X63" s="9" t="s">
        <v>1838</v>
      </c>
      <c r="Y63" s="9" t="s">
        <v>1841</v>
      </c>
      <c r="Z63">
        <v>4842179.1619999995</v>
      </c>
      <c r="AA63">
        <v>12553041.036323847</v>
      </c>
      <c r="AB63" s="9" t="s">
        <v>1850</v>
      </c>
      <c r="AC63" s="9" t="s">
        <v>1843</v>
      </c>
    </row>
    <row r="64" spans="1:29">
      <c r="A64" s="9" t="s">
        <v>307</v>
      </c>
      <c r="B64" s="9" t="s">
        <v>150</v>
      </c>
      <c r="C64" s="9" t="s">
        <v>151</v>
      </c>
      <c r="D64" s="9" t="s">
        <v>97</v>
      </c>
      <c r="E64">
        <v>2021</v>
      </c>
      <c r="F64">
        <v>1877077</v>
      </c>
      <c r="G64">
        <v>2.0299999999999999E-2</v>
      </c>
      <c r="H64">
        <v>38104.660000000003</v>
      </c>
      <c r="I64" s="9" t="s">
        <v>308</v>
      </c>
      <c r="J64" s="9" t="s">
        <v>309</v>
      </c>
      <c r="K64" s="9" t="s">
        <v>310</v>
      </c>
      <c r="L64">
        <v>1863710</v>
      </c>
      <c r="M64" s="8">
        <v>43985</v>
      </c>
      <c r="N64" s="9" t="s">
        <v>151</v>
      </c>
      <c r="O64">
        <v>2.0299999999999999E-2</v>
      </c>
      <c r="P64">
        <v>1</v>
      </c>
      <c r="Q64" s="9" t="s">
        <v>1821</v>
      </c>
      <c r="R64" s="9" t="s">
        <v>1838</v>
      </c>
      <c r="S64" s="9" t="s">
        <v>1839</v>
      </c>
      <c r="T64" s="9" t="s">
        <v>1838</v>
      </c>
      <c r="U64" s="9" t="s">
        <v>1840</v>
      </c>
      <c r="V64" s="9" t="s">
        <v>1838</v>
      </c>
      <c r="W64" s="9" t="s">
        <v>1838</v>
      </c>
      <c r="X64" s="9" t="s">
        <v>1838</v>
      </c>
      <c r="Y64" s="9" t="s">
        <v>1841</v>
      </c>
      <c r="Z64">
        <v>4842179.1619999995</v>
      </c>
      <c r="AA64">
        <v>12553041.036323847</v>
      </c>
      <c r="AB64" s="9" t="s">
        <v>1850</v>
      </c>
      <c r="AC64" s="9" t="s">
        <v>1838</v>
      </c>
    </row>
    <row r="65" spans="1:29">
      <c r="A65" s="9" t="s">
        <v>311</v>
      </c>
      <c r="B65" s="9" t="s">
        <v>69</v>
      </c>
      <c r="C65" s="9" t="s">
        <v>70</v>
      </c>
      <c r="D65" s="9" t="s">
        <v>82</v>
      </c>
      <c r="E65">
        <v>2021</v>
      </c>
      <c r="F65">
        <v>10207704</v>
      </c>
      <c r="G65">
        <v>1.49E-2</v>
      </c>
      <c r="H65">
        <v>152094.79</v>
      </c>
      <c r="I65" s="9" t="s">
        <v>312</v>
      </c>
      <c r="J65" s="9" t="s">
        <v>313</v>
      </c>
      <c r="K65" s="9" t="s">
        <v>314</v>
      </c>
      <c r="L65">
        <v>12754581</v>
      </c>
      <c r="M65" s="8">
        <v>45111</v>
      </c>
      <c r="N65" s="9" t="s">
        <v>70</v>
      </c>
      <c r="O65">
        <v>1.49E-2</v>
      </c>
      <c r="P65">
        <v>1</v>
      </c>
      <c r="Q65" s="9" t="s">
        <v>1824</v>
      </c>
      <c r="R65" s="9" t="s">
        <v>1838</v>
      </c>
      <c r="S65" s="9" t="s">
        <v>1839</v>
      </c>
      <c r="T65" s="9" t="s">
        <v>1838</v>
      </c>
      <c r="U65" s="9" t="s">
        <v>1840</v>
      </c>
      <c r="V65" s="9" t="s">
        <v>1838</v>
      </c>
      <c r="W65" s="9" t="s">
        <v>1838</v>
      </c>
      <c r="X65" s="9" t="s">
        <v>1838</v>
      </c>
      <c r="Y65" s="9" t="s">
        <v>1841</v>
      </c>
      <c r="Z65">
        <v>4842179.1619999995</v>
      </c>
      <c r="AA65">
        <v>12553041.036323847</v>
      </c>
      <c r="AB65" s="9" t="s">
        <v>1850</v>
      </c>
      <c r="AC65" s="9" t="s">
        <v>1838</v>
      </c>
    </row>
    <row r="66" spans="1:29">
      <c r="A66" s="9" t="s">
        <v>315</v>
      </c>
      <c r="B66" s="9" t="s">
        <v>69</v>
      </c>
      <c r="C66" s="9" t="s">
        <v>151</v>
      </c>
      <c r="D66" s="9" t="s">
        <v>51</v>
      </c>
      <c r="E66">
        <v>2024</v>
      </c>
      <c r="F66">
        <v>947213</v>
      </c>
      <c r="G66">
        <v>1.26E-2</v>
      </c>
      <c r="H66">
        <v>11934.88</v>
      </c>
      <c r="I66" s="9" t="s">
        <v>316</v>
      </c>
      <c r="J66" s="9" t="s">
        <v>317</v>
      </c>
      <c r="K66" s="9" t="s">
        <v>318</v>
      </c>
      <c r="L66">
        <v>1002909</v>
      </c>
      <c r="M66" s="8">
        <v>45436</v>
      </c>
      <c r="N66" s="9" t="s">
        <v>70</v>
      </c>
      <c r="O66">
        <v>1.26E-2</v>
      </c>
      <c r="P66">
        <v>1</v>
      </c>
      <c r="Q66" s="9" t="s">
        <v>1820</v>
      </c>
      <c r="R66" s="9" t="s">
        <v>1838</v>
      </c>
      <c r="S66" s="9" t="s">
        <v>1845</v>
      </c>
      <c r="T66" s="9" t="s">
        <v>1838</v>
      </c>
      <c r="U66" s="9" t="s">
        <v>1840</v>
      </c>
      <c r="V66" s="9" t="s">
        <v>1838</v>
      </c>
      <c r="W66" s="9" t="s">
        <v>1838</v>
      </c>
      <c r="X66" s="9" t="s">
        <v>1838</v>
      </c>
      <c r="Y66" s="9" t="s">
        <v>1841</v>
      </c>
      <c r="Z66">
        <v>4842179.1619999995</v>
      </c>
      <c r="AA66">
        <v>12553041.036323847</v>
      </c>
      <c r="AB66" s="9" t="s">
        <v>1850</v>
      </c>
      <c r="AC66" s="9" t="s">
        <v>1843</v>
      </c>
    </row>
    <row r="67" spans="1:29">
      <c r="A67" s="9" t="s">
        <v>319</v>
      </c>
      <c r="B67" s="9" t="s">
        <v>69</v>
      </c>
      <c r="C67" s="9" t="s">
        <v>70</v>
      </c>
      <c r="D67" s="9" t="s">
        <v>51</v>
      </c>
      <c r="E67">
        <v>2021</v>
      </c>
      <c r="F67">
        <v>1104516</v>
      </c>
      <c r="G67">
        <v>1.26E-2</v>
      </c>
      <c r="H67">
        <v>13916.9</v>
      </c>
      <c r="I67" s="9" t="s">
        <v>320</v>
      </c>
      <c r="J67" s="9" t="s">
        <v>321</v>
      </c>
      <c r="K67" s="9" t="s">
        <v>322</v>
      </c>
      <c r="L67">
        <v>1114880</v>
      </c>
      <c r="M67" s="8">
        <v>44510</v>
      </c>
      <c r="N67" s="9" t="s">
        <v>70</v>
      </c>
      <c r="O67">
        <v>1.26E-2</v>
      </c>
      <c r="P67">
        <v>1</v>
      </c>
      <c r="Q67" s="9" t="s">
        <v>1820</v>
      </c>
      <c r="R67" s="9" t="s">
        <v>1838</v>
      </c>
      <c r="S67" s="9" t="s">
        <v>1839</v>
      </c>
      <c r="T67" s="9" t="s">
        <v>1838</v>
      </c>
      <c r="U67" s="9" t="s">
        <v>1840</v>
      </c>
      <c r="V67" s="9" t="s">
        <v>1838</v>
      </c>
      <c r="W67" s="9" t="s">
        <v>1838</v>
      </c>
      <c r="X67" s="9" t="s">
        <v>1838</v>
      </c>
      <c r="Y67" s="9" t="s">
        <v>1841</v>
      </c>
      <c r="Z67">
        <v>4842179.1619999995</v>
      </c>
      <c r="AA67">
        <v>12553041.036323847</v>
      </c>
      <c r="AB67" s="9" t="s">
        <v>1850</v>
      </c>
      <c r="AC67" s="9" t="s">
        <v>1838</v>
      </c>
    </row>
    <row r="68" spans="1:29">
      <c r="A68" s="9" t="s">
        <v>323</v>
      </c>
      <c r="B68" s="9" t="s">
        <v>150</v>
      </c>
      <c r="C68" s="9" t="s">
        <v>151</v>
      </c>
      <c r="D68" s="9" t="s">
        <v>97</v>
      </c>
      <c r="E68">
        <v>2024</v>
      </c>
      <c r="F68">
        <v>1125483</v>
      </c>
      <c r="G68">
        <v>2.0299999999999999E-2</v>
      </c>
      <c r="H68">
        <v>22847.3</v>
      </c>
      <c r="I68" s="9" t="s">
        <v>324</v>
      </c>
      <c r="J68" s="9" t="s">
        <v>325</v>
      </c>
      <c r="K68" s="9" t="s">
        <v>326</v>
      </c>
      <c r="L68">
        <v>1152224</v>
      </c>
      <c r="M68" s="8">
        <v>45559</v>
      </c>
      <c r="N68" s="9" t="s">
        <v>151</v>
      </c>
      <c r="O68">
        <v>2.0299999999999999E-2</v>
      </c>
      <c r="P68">
        <v>1</v>
      </c>
      <c r="Q68" s="9" t="s">
        <v>1821</v>
      </c>
      <c r="R68" s="9" t="s">
        <v>1838</v>
      </c>
      <c r="S68" s="9" t="s">
        <v>1839</v>
      </c>
      <c r="T68" s="9" t="s">
        <v>1838</v>
      </c>
      <c r="U68" s="9" t="s">
        <v>1840</v>
      </c>
      <c r="V68" s="9" t="s">
        <v>1838</v>
      </c>
      <c r="W68" s="9" t="s">
        <v>1838</v>
      </c>
      <c r="X68" s="9" t="s">
        <v>1838</v>
      </c>
      <c r="Y68" s="9" t="s">
        <v>1841</v>
      </c>
      <c r="Z68">
        <v>4842179.1619999995</v>
      </c>
      <c r="AA68">
        <v>12553041.036323847</v>
      </c>
      <c r="AB68" s="9" t="s">
        <v>1850</v>
      </c>
      <c r="AC68" s="9" t="s">
        <v>1838</v>
      </c>
    </row>
    <row r="69" spans="1:29">
      <c r="A69" s="9" t="s">
        <v>327</v>
      </c>
      <c r="B69" s="9" t="s">
        <v>69</v>
      </c>
      <c r="C69" s="9" t="s">
        <v>70</v>
      </c>
      <c r="D69" s="9" t="s">
        <v>51</v>
      </c>
      <c r="E69">
        <v>2023</v>
      </c>
      <c r="F69">
        <v>848414</v>
      </c>
      <c r="G69">
        <v>1.26E-2</v>
      </c>
      <c r="H69">
        <v>10690.02</v>
      </c>
      <c r="I69" s="9" t="s">
        <v>328</v>
      </c>
      <c r="J69" s="9" t="s">
        <v>329</v>
      </c>
      <c r="K69" s="9" t="s">
        <v>330</v>
      </c>
      <c r="L69">
        <v>890995</v>
      </c>
      <c r="M69" s="8">
        <v>44979</v>
      </c>
      <c r="N69" s="9" t="s">
        <v>70</v>
      </c>
      <c r="O69">
        <v>1.26E-2</v>
      </c>
      <c r="P69">
        <v>1</v>
      </c>
      <c r="Q69" s="9" t="s">
        <v>1820</v>
      </c>
      <c r="R69" s="9" t="s">
        <v>1838</v>
      </c>
      <c r="S69" s="9" t="s">
        <v>1839</v>
      </c>
      <c r="T69" s="9" t="s">
        <v>1838</v>
      </c>
      <c r="U69" s="9" t="s">
        <v>1840</v>
      </c>
      <c r="V69" s="9" t="s">
        <v>1838</v>
      </c>
      <c r="W69" s="9" t="s">
        <v>1838</v>
      </c>
      <c r="X69" s="9" t="s">
        <v>1838</v>
      </c>
      <c r="Y69" s="9" t="s">
        <v>1841</v>
      </c>
      <c r="Z69">
        <v>4842179.1619999995</v>
      </c>
      <c r="AA69">
        <v>12553041.036323847</v>
      </c>
      <c r="AB69" s="9" t="s">
        <v>1850</v>
      </c>
      <c r="AC69" s="9" t="s">
        <v>1838</v>
      </c>
    </row>
    <row r="70" spans="1:29">
      <c r="A70" s="9" t="s">
        <v>331</v>
      </c>
      <c r="B70" s="9" t="s">
        <v>87</v>
      </c>
      <c r="C70" s="9" t="s">
        <v>88</v>
      </c>
      <c r="D70" s="9" t="s">
        <v>82</v>
      </c>
      <c r="E70">
        <v>2021</v>
      </c>
      <c r="F70">
        <v>8338294</v>
      </c>
      <c r="G70">
        <v>1.4800000000000001E-2</v>
      </c>
      <c r="H70">
        <v>123406.75</v>
      </c>
      <c r="I70" s="9" t="s">
        <v>332</v>
      </c>
      <c r="J70" s="9" t="s">
        <v>333</v>
      </c>
      <c r="K70" s="9" t="s">
        <v>334</v>
      </c>
      <c r="L70">
        <v>7918512</v>
      </c>
      <c r="M70" s="8">
        <v>43591</v>
      </c>
      <c r="N70" s="9" t="s">
        <v>88</v>
      </c>
      <c r="O70">
        <v>1.4800000000000001E-2</v>
      </c>
      <c r="P70">
        <v>1</v>
      </c>
      <c r="Q70" s="9" t="s">
        <v>1824</v>
      </c>
      <c r="R70" s="9" t="s">
        <v>1838</v>
      </c>
      <c r="S70" s="9" t="s">
        <v>1839</v>
      </c>
      <c r="T70" s="9" t="s">
        <v>1838</v>
      </c>
      <c r="U70" s="9" t="s">
        <v>1840</v>
      </c>
      <c r="V70" s="9" t="s">
        <v>1838</v>
      </c>
      <c r="W70" s="9" t="s">
        <v>1838</v>
      </c>
      <c r="X70" s="9" t="s">
        <v>1838</v>
      </c>
      <c r="Y70" s="9" t="s">
        <v>1841</v>
      </c>
      <c r="Z70">
        <v>4842179.1619999995</v>
      </c>
      <c r="AA70">
        <v>12553041.036323847</v>
      </c>
      <c r="AB70" s="9" t="s">
        <v>1850</v>
      </c>
      <c r="AC70" s="9" t="s">
        <v>1838</v>
      </c>
    </row>
    <row r="71" spans="1:29">
      <c r="A71" s="9" t="s">
        <v>335</v>
      </c>
      <c r="B71" s="9" t="s">
        <v>49</v>
      </c>
      <c r="C71" s="9" t="s">
        <v>50</v>
      </c>
      <c r="D71" s="9" t="s">
        <v>82</v>
      </c>
      <c r="E71">
        <v>2022</v>
      </c>
      <c r="F71">
        <v>5796421</v>
      </c>
      <c r="G71">
        <v>1.44E-2</v>
      </c>
      <c r="H71">
        <v>83468.460000000006</v>
      </c>
      <c r="I71" s="9" t="s">
        <v>336</v>
      </c>
      <c r="J71" s="9" t="s">
        <v>337</v>
      </c>
      <c r="K71" s="9" t="s">
        <v>338</v>
      </c>
      <c r="L71">
        <v>5382287</v>
      </c>
      <c r="M71" s="8">
        <v>45280</v>
      </c>
      <c r="N71" s="9" t="s">
        <v>50</v>
      </c>
      <c r="O71">
        <v>1.44E-2</v>
      </c>
      <c r="P71">
        <v>1</v>
      </c>
      <c r="Q71" s="9" t="s">
        <v>1824</v>
      </c>
      <c r="R71" s="9" t="s">
        <v>1838</v>
      </c>
      <c r="S71" s="9" t="s">
        <v>1839</v>
      </c>
      <c r="T71" s="9" t="s">
        <v>1838</v>
      </c>
      <c r="U71" s="9" t="s">
        <v>1840</v>
      </c>
      <c r="V71" s="9" t="s">
        <v>1838</v>
      </c>
      <c r="W71" s="9" t="s">
        <v>1838</v>
      </c>
      <c r="X71" s="9" t="s">
        <v>1838</v>
      </c>
      <c r="Y71" s="9" t="s">
        <v>1841</v>
      </c>
      <c r="Z71">
        <v>4842179.1619999995</v>
      </c>
      <c r="AA71">
        <v>12553041.036323847</v>
      </c>
      <c r="AB71" s="9" t="s">
        <v>1850</v>
      </c>
      <c r="AC71" s="9" t="s">
        <v>1838</v>
      </c>
    </row>
    <row r="72" spans="1:29">
      <c r="A72" s="9" t="s">
        <v>339</v>
      </c>
      <c r="B72" s="9" t="s">
        <v>69</v>
      </c>
      <c r="C72" s="9" t="s">
        <v>70</v>
      </c>
      <c r="D72" s="9" t="s">
        <v>58</v>
      </c>
      <c r="E72">
        <v>2024</v>
      </c>
      <c r="F72">
        <v>1502655</v>
      </c>
      <c r="G72">
        <v>9.5999999999999992E-3</v>
      </c>
      <c r="H72">
        <v>14425.49</v>
      </c>
      <c r="I72" s="9" t="s">
        <v>340</v>
      </c>
      <c r="J72" s="9" t="s">
        <v>341</v>
      </c>
      <c r="K72" s="9" t="s">
        <v>342</v>
      </c>
      <c r="L72">
        <v>1459902</v>
      </c>
      <c r="M72" s="8">
        <v>44629</v>
      </c>
      <c r="N72" s="9" t="s">
        <v>70</v>
      </c>
      <c r="O72">
        <v>9.5999999999999992E-3</v>
      </c>
      <c r="P72">
        <v>1</v>
      </c>
      <c r="Q72" s="9" t="s">
        <v>1823</v>
      </c>
      <c r="R72" s="9" t="s">
        <v>1838</v>
      </c>
      <c r="S72" s="9" t="s">
        <v>1839</v>
      </c>
      <c r="T72" s="9" t="s">
        <v>1838</v>
      </c>
      <c r="U72" s="9" t="s">
        <v>1840</v>
      </c>
      <c r="V72" s="9" t="s">
        <v>1838</v>
      </c>
      <c r="W72" s="9" t="s">
        <v>1838</v>
      </c>
      <c r="X72" s="9" t="s">
        <v>1838</v>
      </c>
      <c r="Y72" s="9" t="s">
        <v>1841</v>
      </c>
      <c r="Z72">
        <v>4842179.1619999995</v>
      </c>
      <c r="AA72">
        <v>12553041.036323847</v>
      </c>
      <c r="AB72" s="9" t="s">
        <v>1850</v>
      </c>
      <c r="AC72" s="9" t="s">
        <v>1838</v>
      </c>
    </row>
    <row r="73" spans="1:29">
      <c r="A73" s="9" t="s">
        <v>343</v>
      </c>
      <c r="B73" s="9" t="s">
        <v>131</v>
      </c>
      <c r="C73" s="9" t="s">
        <v>132</v>
      </c>
      <c r="D73" s="9" t="s">
        <v>71</v>
      </c>
      <c r="E73">
        <v>2023</v>
      </c>
      <c r="F73">
        <v>3790081</v>
      </c>
      <c r="G73">
        <v>1.8800000000000001E-2</v>
      </c>
      <c r="H73">
        <v>71253.52</v>
      </c>
      <c r="I73" s="9" t="s">
        <v>344</v>
      </c>
      <c r="J73" s="9" t="s">
        <v>345</v>
      </c>
      <c r="K73" s="9" t="s">
        <v>346</v>
      </c>
      <c r="L73">
        <v>3435934</v>
      </c>
      <c r="M73" s="8">
        <v>45717</v>
      </c>
      <c r="N73" s="9" t="s">
        <v>132</v>
      </c>
      <c r="O73">
        <v>1.8800000000000001E-2</v>
      </c>
      <c r="P73">
        <v>1</v>
      </c>
      <c r="Q73" s="9" t="s">
        <v>1822</v>
      </c>
      <c r="R73" s="9" t="s">
        <v>1838</v>
      </c>
      <c r="S73" s="9" t="s">
        <v>1839</v>
      </c>
      <c r="T73" s="9" t="s">
        <v>1838</v>
      </c>
      <c r="U73" s="9" t="s">
        <v>1840</v>
      </c>
      <c r="V73" s="9" t="s">
        <v>1838</v>
      </c>
      <c r="W73" s="9" t="s">
        <v>1838</v>
      </c>
      <c r="X73" s="9" t="s">
        <v>1838</v>
      </c>
      <c r="Y73" s="9" t="s">
        <v>1841</v>
      </c>
      <c r="Z73">
        <v>4842179.1619999995</v>
      </c>
      <c r="AA73">
        <v>12553041.036323847</v>
      </c>
      <c r="AB73" s="9" t="s">
        <v>1850</v>
      </c>
      <c r="AC73" s="9" t="s">
        <v>1838</v>
      </c>
    </row>
    <row r="74" spans="1:29">
      <c r="A74" s="9" t="s">
        <v>347</v>
      </c>
      <c r="B74" s="9" t="s">
        <v>49</v>
      </c>
      <c r="C74" s="9" t="s">
        <v>88</v>
      </c>
      <c r="D74" s="9" t="s">
        <v>71</v>
      </c>
      <c r="E74">
        <v>2024</v>
      </c>
      <c r="F74">
        <v>5458093</v>
      </c>
      <c r="G74">
        <v>1.8100000000000002E-2</v>
      </c>
      <c r="H74">
        <v>98791.48</v>
      </c>
      <c r="I74" s="9" t="s">
        <v>348</v>
      </c>
      <c r="J74" s="9" t="s">
        <v>349</v>
      </c>
      <c r="K74" s="9" t="s">
        <v>350</v>
      </c>
      <c r="L74">
        <v>6037224</v>
      </c>
      <c r="M74" s="8">
        <v>45270</v>
      </c>
      <c r="N74" s="9" t="s">
        <v>50</v>
      </c>
      <c r="O74">
        <v>1.8100000000000002E-2</v>
      </c>
      <c r="P74">
        <v>1</v>
      </c>
      <c r="Q74" s="9" t="s">
        <v>1822</v>
      </c>
      <c r="R74" s="9" t="s">
        <v>1838</v>
      </c>
      <c r="S74" s="9" t="s">
        <v>1845</v>
      </c>
      <c r="T74" s="9" t="s">
        <v>1838</v>
      </c>
      <c r="U74" s="9" t="s">
        <v>1840</v>
      </c>
      <c r="V74" s="9" t="s">
        <v>1838</v>
      </c>
      <c r="W74" s="9" t="s">
        <v>1838</v>
      </c>
      <c r="X74" s="9" t="s">
        <v>1838</v>
      </c>
      <c r="Y74" s="9" t="s">
        <v>1841</v>
      </c>
      <c r="Z74">
        <v>4842179.1619999995</v>
      </c>
      <c r="AA74">
        <v>12553041.036323847</v>
      </c>
      <c r="AB74" s="9" t="s">
        <v>1850</v>
      </c>
      <c r="AC74" s="9" t="s">
        <v>1843</v>
      </c>
    </row>
    <row r="75" spans="1:29">
      <c r="A75" s="9" t="s">
        <v>351</v>
      </c>
      <c r="B75" s="9" t="s">
        <v>49</v>
      </c>
      <c r="C75" s="9" t="s">
        <v>50</v>
      </c>
      <c r="D75" s="9" t="s">
        <v>58</v>
      </c>
      <c r="E75">
        <v>2023</v>
      </c>
      <c r="F75">
        <v>2525579</v>
      </c>
      <c r="G75">
        <v>9.1000000000000004E-3</v>
      </c>
      <c r="H75">
        <v>22982.77</v>
      </c>
      <c r="I75" s="9" t="s">
        <v>352</v>
      </c>
      <c r="J75" s="9" t="s">
        <v>353</v>
      </c>
      <c r="K75" s="9" t="s">
        <v>354</v>
      </c>
      <c r="L75">
        <v>2363895</v>
      </c>
      <c r="M75" s="8">
        <v>44355</v>
      </c>
      <c r="N75" s="9" t="s">
        <v>50</v>
      </c>
      <c r="O75">
        <v>9.1000000000000004E-3</v>
      </c>
      <c r="P75">
        <v>1</v>
      </c>
      <c r="Q75" s="9" t="s">
        <v>1823</v>
      </c>
      <c r="R75" s="9" t="s">
        <v>1838</v>
      </c>
      <c r="S75" s="9" t="s">
        <v>1839</v>
      </c>
      <c r="T75" s="9" t="s">
        <v>1838</v>
      </c>
      <c r="U75" s="9" t="s">
        <v>1840</v>
      </c>
      <c r="V75" s="9" t="s">
        <v>1838</v>
      </c>
      <c r="W75" s="9" t="s">
        <v>1838</v>
      </c>
      <c r="X75" s="9" t="s">
        <v>1838</v>
      </c>
      <c r="Y75" s="9" t="s">
        <v>1841</v>
      </c>
      <c r="Z75">
        <v>4842179.1619999995</v>
      </c>
      <c r="AA75">
        <v>12553041.036323847</v>
      </c>
      <c r="AB75" s="9" t="s">
        <v>1850</v>
      </c>
      <c r="AC75" s="9" t="s">
        <v>1838</v>
      </c>
    </row>
    <row r="76" spans="1:29">
      <c r="A76" s="9" t="s">
        <v>355</v>
      </c>
      <c r="B76" s="9" t="s">
        <v>76</v>
      </c>
      <c r="C76" s="9" t="s">
        <v>77</v>
      </c>
      <c r="D76" s="9" t="s">
        <v>97</v>
      </c>
      <c r="E76">
        <v>2022</v>
      </c>
      <c r="F76">
        <v>3625187</v>
      </c>
      <c r="G76">
        <v>2.0400000000000001E-2</v>
      </c>
      <c r="H76">
        <v>73953.81</v>
      </c>
      <c r="I76" s="9" t="s">
        <v>356</v>
      </c>
      <c r="J76" s="9" t="s">
        <v>357</v>
      </c>
      <c r="K76" s="9" t="s">
        <v>358</v>
      </c>
      <c r="L76">
        <v>3646892</v>
      </c>
      <c r="M76" s="8"/>
      <c r="N76" s="9" t="s">
        <v>77</v>
      </c>
      <c r="O76">
        <v>2.0400000000000001E-2</v>
      </c>
      <c r="P76">
        <v>1</v>
      </c>
      <c r="Q76" s="9" t="s">
        <v>1821</v>
      </c>
      <c r="R76" s="9" t="s">
        <v>1838</v>
      </c>
      <c r="S76" s="9" t="s">
        <v>1839</v>
      </c>
      <c r="T76" s="9" t="s">
        <v>1838</v>
      </c>
      <c r="U76" s="9" t="s">
        <v>1840</v>
      </c>
      <c r="V76" s="9" t="s">
        <v>1838</v>
      </c>
      <c r="W76" s="9" t="s">
        <v>1838</v>
      </c>
      <c r="X76" s="9"/>
      <c r="Y76" s="9" t="s">
        <v>1841</v>
      </c>
      <c r="Z76">
        <v>4842179.1619999995</v>
      </c>
      <c r="AA76">
        <v>12553041.036323847</v>
      </c>
      <c r="AB76" s="9" t="s">
        <v>1850</v>
      </c>
      <c r="AC76" s="9"/>
    </row>
    <row r="77" spans="1:29">
      <c r="A77" s="9" t="s">
        <v>359</v>
      </c>
      <c r="B77" s="9" t="s">
        <v>87</v>
      </c>
      <c r="C77" s="9" t="s">
        <v>88</v>
      </c>
      <c r="D77" s="9" t="s">
        <v>51</v>
      </c>
      <c r="E77">
        <v>2023</v>
      </c>
      <c r="F77">
        <v>776498</v>
      </c>
      <c r="G77">
        <v>1.2500000000000001E-2</v>
      </c>
      <c r="H77">
        <v>9706.23</v>
      </c>
      <c r="I77" s="9" t="s">
        <v>360</v>
      </c>
      <c r="J77" s="9" t="s">
        <v>361</v>
      </c>
      <c r="K77" s="9" t="s">
        <v>362</v>
      </c>
      <c r="L77">
        <v>945905</v>
      </c>
      <c r="M77" s="8">
        <v>45001</v>
      </c>
      <c r="N77" s="9" t="s">
        <v>88</v>
      </c>
      <c r="O77">
        <v>1.2500000000000001E-2</v>
      </c>
      <c r="P77">
        <v>2</v>
      </c>
      <c r="Q77" s="9" t="s">
        <v>1820</v>
      </c>
      <c r="R77" s="9" t="s">
        <v>1838</v>
      </c>
      <c r="S77" s="9" t="s">
        <v>1839</v>
      </c>
      <c r="T77" s="9" t="s">
        <v>1838</v>
      </c>
      <c r="U77" s="9" t="s">
        <v>1844</v>
      </c>
      <c r="V77" s="9" t="s">
        <v>1838</v>
      </c>
      <c r="W77" s="9" t="s">
        <v>1838</v>
      </c>
      <c r="X77" s="9" t="s">
        <v>1838</v>
      </c>
      <c r="Y77" s="9" t="s">
        <v>1841</v>
      </c>
      <c r="Z77">
        <v>4842179.1619999995</v>
      </c>
      <c r="AA77">
        <v>12553041.036323847</v>
      </c>
      <c r="AB77" s="9" t="s">
        <v>1850</v>
      </c>
      <c r="AC77" s="9" t="s">
        <v>1843</v>
      </c>
    </row>
    <row r="78" spans="1:29">
      <c r="A78" s="9" t="s">
        <v>359</v>
      </c>
      <c r="B78" s="9" t="s">
        <v>101</v>
      </c>
      <c r="C78" s="9" t="s">
        <v>102</v>
      </c>
      <c r="D78" s="9" t="s">
        <v>71</v>
      </c>
      <c r="E78">
        <v>2022</v>
      </c>
      <c r="F78">
        <v>1246108</v>
      </c>
      <c r="G78">
        <v>1.89E-2</v>
      </c>
      <c r="H78">
        <v>23551.439999999999</v>
      </c>
      <c r="I78" s="9" t="s">
        <v>495</v>
      </c>
      <c r="J78" s="9" t="s">
        <v>496</v>
      </c>
      <c r="K78" s="9" t="s">
        <v>459</v>
      </c>
      <c r="L78">
        <v>1549647</v>
      </c>
      <c r="M78" s="8">
        <v>45421</v>
      </c>
      <c r="N78" s="9" t="s">
        <v>102</v>
      </c>
      <c r="O78">
        <v>1.89E-2</v>
      </c>
      <c r="P78">
        <v>2</v>
      </c>
      <c r="Q78" s="9" t="s">
        <v>1822</v>
      </c>
      <c r="R78" s="9" t="s">
        <v>1838</v>
      </c>
      <c r="S78" s="9" t="s">
        <v>1839</v>
      </c>
      <c r="T78" s="9" t="s">
        <v>1838</v>
      </c>
      <c r="U78" s="9" t="s">
        <v>1844</v>
      </c>
      <c r="V78" s="9" t="s">
        <v>1838</v>
      </c>
      <c r="W78" s="9" t="s">
        <v>1838</v>
      </c>
      <c r="X78" s="9" t="s">
        <v>1838</v>
      </c>
      <c r="Y78" s="9" t="s">
        <v>1841</v>
      </c>
      <c r="Z78">
        <v>4842179.1619999995</v>
      </c>
      <c r="AA78">
        <v>12553041.036323847</v>
      </c>
      <c r="AB78" s="9" t="s">
        <v>1850</v>
      </c>
      <c r="AC78" s="9" t="s">
        <v>1843</v>
      </c>
    </row>
    <row r="79" spans="1:29">
      <c r="A79" s="9" t="s">
        <v>363</v>
      </c>
      <c r="B79" s="9" t="s">
        <v>76</v>
      </c>
      <c r="C79" s="9" t="s">
        <v>77</v>
      </c>
      <c r="D79" s="9" t="s">
        <v>71</v>
      </c>
      <c r="E79">
        <v>2024</v>
      </c>
      <c r="F79">
        <v>4927318</v>
      </c>
      <c r="G79">
        <v>1.84E-2</v>
      </c>
      <c r="H79">
        <v>90662.65</v>
      </c>
      <c r="I79" s="9" t="s">
        <v>364</v>
      </c>
      <c r="J79" s="9" t="s">
        <v>365</v>
      </c>
      <c r="K79" s="9" t="s">
        <v>221</v>
      </c>
      <c r="L79">
        <v>5486233</v>
      </c>
      <c r="M79" s="8">
        <v>44942</v>
      </c>
      <c r="N79" s="9" t="s">
        <v>77</v>
      </c>
      <c r="O79">
        <v>1.84E-2</v>
      </c>
      <c r="P79">
        <v>1</v>
      </c>
      <c r="Q79" s="9" t="s">
        <v>1822</v>
      </c>
      <c r="R79" s="9" t="s">
        <v>1838</v>
      </c>
      <c r="S79" s="9" t="s">
        <v>1839</v>
      </c>
      <c r="T79" s="9" t="s">
        <v>1838</v>
      </c>
      <c r="U79" s="9" t="s">
        <v>1840</v>
      </c>
      <c r="V79" s="9" t="s">
        <v>1838</v>
      </c>
      <c r="W79" s="9" t="s">
        <v>1838</v>
      </c>
      <c r="X79" s="9" t="s">
        <v>1838</v>
      </c>
      <c r="Y79" s="9" t="s">
        <v>1841</v>
      </c>
      <c r="Z79">
        <v>4842179.1619999995</v>
      </c>
      <c r="AA79">
        <v>12553041.036323847</v>
      </c>
      <c r="AB79" s="9" t="s">
        <v>1850</v>
      </c>
      <c r="AC79" s="9" t="s">
        <v>1838</v>
      </c>
    </row>
    <row r="80" spans="1:29">
      <c r="A80" s="9" t="s">
        <v>366</v>
      </c>
      <c r="B80" s="9" t="s">
        <v>150</v>
      </c>
      <c r="C80" s="9" t="s">
        <v>151</v>
      </c>
      <c r="D80" s="9" t="s">
        <v>71</v>
      </c>
      <c r="E80">
        <v>2024</v>
      </c>
      <c r="F80">
        <v>4298555</v>
      </c>
      <c r="G80">
        <v>1.83E-2</v>
      </c>
      <c r="H80">
        <v>78663.56</v>
      </c>
      <c r="I80" s="9" t="s">
        <v>367</v>
      </c>
      <c r="J80" s="9" t="s">
        <v>368</v>
      </c>
      <c r="K80" s="9" t="s">
        <v>369</v>
      </c>
      <c r="L80">
        <v>3991319</v>
      </c>
      <c r="M80" s="8">
        <v>45556</v>
      </c>
      <c r="N80" s="9" t="s">
        <v>151</v>
      </c>
      <c r="O80">
        <v>1.83E-2</v>
      </c>
      <c r="P80">
        <v>1</v>
      </c>
      <c r="Q80" s="9" t="s">
        <v>1822</v>
      </c>
      <c r="R80" s="9" t="s">
        <v>1838</v>
      </c>
      <c r="S80" s="9" t="s">
        <v>1839</v>
      </c>
      <c r="T80" s="9" t="s">
        <v>1838</v>
      </c>
      <c r="U80" s="9" t="s">
        <v>1840</v>
      </c>
      <c r="V80" s="9" t="s">
        <v>1838</v>
      </c>
      <c r="W80" s="9" t="s">
        <v>1838</v>
      </c>
      <c r="X80" s="9" t="s">
        <v>1838</v>
      </c>
      <c r="Y80" s="9" t="s">
        <v>1841</v>
      </c>
      <c r="Z80">
        <v>4842179.1619999995</v>
      </c>
      <c r="AA80">
        <v>12553041.036323847</v>
      </c>
      <c r="AB80" s="9" t="s">
        <v>1850</v>
      </c>
      <c r="AC80" s="9" t="s">
        <v>1838</v>
      </c>
    </row>
    <row r="81" spans="1:29">
      <c r="A81" s="9" t="s">
        <v>370</v>
      </c>
      <c r="B81" s="9" t="s">
        <v>131</v>
      </c>
      <c r="C81" s="9" t="s">
        <v>132</v>
      </c>
      <c r="D81" s="9" t="s">
        <v>71</v>
      </c>
      <c r="E81">
        <v>2023</v>
      </c>
      <c r="F81">
        <v>10199809</v>
      </c>
      <c r="G81">
        <v>1.8800000000000001E-2</v>
      </c>
      <c r="H81">
        <v>191756.41</v>
      </c>
      <c r="I81" s="9" t="s">
        <v>371</v>
      </c>
      <c r="J81" s="9" t="s">
        <v>372</v>
      </c>
      <c r="K81" s="9" t="s">
        <v>373</v>
      </c>
      <c r="L81">
        <v>11486094</v>
      </c>
      <c r="M81" s="8">
        <v>44698</v>
      </c>
      <c r="N81" s="9" t="s">
        <v>132</v>
      </c>
      <c r="O81">
        <v>1.8800000000000001E-2</v>
      </c>
      <c r="P81">
        <v>1</v>
      </c>
      <c r="Q81" s="9" t="s">
        <v>1822</v>
      </c>
      <c r="R81" s="9" t="s">
        <v>1838</v>
      </c>
      <c r="S81" s="9" t="s">
        <v>1839</v>
      </c>
      <c r="T81" s="9" t="s">
        <v>1838</v>
      </c>
      <c r="U81" s="9" t="s">
        <v>1840</v>
      </c>
      <c r="V81" s="9" t="s">
        <v>1838</v>
      </c>
      <c r="W81" s="9" t="s">
        <v>1838</v>
      </c>
      <c r="X81" s="9" t="s">
        <v>1838</v>
      </c>
      <c r="Y81" s="9" t="s">
        <v>1841</v>
      </c>
      <c r="Z81">
        <v>4842179.1619999995</v>
      </c>
      <c r="AA81">
        <v>12553041.036323847</v>
      </c>
      <c r="AB81" s="9" t="s">
        <v>1850</v>
      </c>
      <c r="AC81" s="9" t="s">
        <v>1838</v>
      </c>
    </row>
    <row r="82" spans="1:29">
      <c r="A82" s="9" t="s">
        <v>374</v>
      </c>
      <c r="B82" s="9" t="s">
        <v>56</v>
      </c>
      <c r="C82" s="9" t="s">
        <v>57</v>
      </c>
      <c r="D82" s="9" t="s">
        <v>71</v>
      </c>
      <c r="E82">
        <v>2021</v>
      </c>
      <c r="F82">
        <v>4003488</v>
      </c>
      <c r="G82">
        <v>1.84E-2</v>
      </c>
      <c r="H82">
        <v>73664.179999999993</v>
      </c>
      <c r="I82" s="9" t="s">
        <v>375</v>
      </c>
      <c r="J82" s="9" t="s">
        <v>376</v>
      </c>
      <c r="K82" s="9" t="s">
        <v>377</v>
      </c>
      <c r="L82">
        <v>4676905</v>
      </c>
      <c r="M82" s="8">
        <v>44002</v>
      </c>
      <c r="N82" s="9" t="s">
        <v>57</v>
      </c>
      <c r="O82">
        <v>1.84E-2</v>
      </c>
      <c r="P82">
        <v>1</v>
      </c>
      <c r="Q82" s="9" t="s">
        <v>1822</v>
      </c>
      <c r="R82" s="9" t="s">
        <v>1838</v>
      </c>
      <c r="S82" s="9" t="s">
        <v>1839</v>
      </c>
      <c r="T82" s="9" t="s">
        <v>1838</v>
      </c>
      <c r="U82" s="9" t="s">
        <v>1840</v>
      </c>
      <c r="V82" s="9" t="s">
        <v>1838</v>
      </c>
      <c r="W82" s="9" t="s">
        <v>1838</v>
      </c>
      <c r="X82" s="9" t="s">
        <v>1838</v>
      </c>
      <c r="Y82" s="9" t="s">
        <v>1841</v>
      </c>
      <c r="Z82">
        <v>4842179.1619999995</v>
      </c>
      <c r="AA82">
        <v>12553041.036323847</v>
      </c>
      <c r="AB82" s="9" t="s">
        <v>1850</v>
      </c>
      <c r="AC82" s="9" t="s">
        <v>1838</v>
      </c>
    </row>
    <row r="83" spans="1:29">
      <c r="A83" s="9" t="s">
        <v>378</v>
      </c>
      <c r="B83" s="9" t="s">
        <v>87</v>
      </c>
      <c r="C83" s="9" t="s">
        <v>88</v>
      </c>
      <c r="D83" s="9" t="s">
        <v>58</v>
      </c>
      <c r="E83">
        <v>2022</v>
      </c>
      <c r="F83">
        <v>914642</v>
      </c>
      <c r="G83">
        <v>9.4999999999999998E-3</v>
      </c>
      <c r="H83">
        <v>8689.1</v>
      </c>
      <c r="I83" s="9" t="s">
        <v>379</v>
      </c>
      <c r="J83" s="9" t="s">
        <v>380</v>
      </c>
      <c r="K83" s="9" t="s">
        <v>381</v>
      </c>
      <c r="L83">
        <v>1090518</v>
      </c>
      <c r="M83" s="8">
        <v>44972</v>
      </c>
      <c r="N83" s="9" t="s">
        <v>88</v>
      </c>
      <c r="O83">
        <v>9.4999999999999998E-3</v>
      </c>
      <c r="P83">
        <v>1</v>
      </c>
      <c r="Q83" s="9" t="s">
        <v>1823</v>
      </c>
      <c r="R83" s="9" t="s">
        <v>1838</v>
      </c>
      <c r="S83" s="9" t="s">
        <v>1839</v>
      </c>
      <c r="T83" s="9" t="s">
        <v>1838</v>
      </c>
      <c r="U83" s="9" t="s">
        <v>1840</v>
      </c>
      <c r="V83" s="9" t="s">
        <v>1838</v>
      </c>
      <c r="W83" s="9" t="s">
        <v>1838</v>
      </c>
      <c r="X83" s="9" t="s">
        <v>1838</v>
      </c>
      <c r="Y83" s="9" t="s">
        <v>1841</v>
      </c>
      <c r="Z83">
        <v>4842179.1619999995</v>
      </c>
      <c r="AA83">
        <v>12553041.036323847</v>
      </c>
      <c r="AB83" s="9" t="s">
        <v>1850</v>
      </c>
      <c r="AC83" s="9" t="s">
        <v>1838</v>
      </c>
    </row>
    <row r="84" spans="1:29">
      <c r="A84" s="9" t="s">
        <v>382</v>
      </c>
      <c r="B84" s="9" t="s">
        <v>87</v>
      </c>
      <c r="C84" s="9" t="s">
        <v>88</v>
      </c>
      <c r="D84" s="9" t="s">
        <v>58</v>
      </c>
      <c r="E84">
        <v>2024</v>
      </c>
      <c r="F84">
        <v>2619604</v>
      </c>
      <c r="G84">
        <v>9.4999999999999998E-3</v>
      </c>
      <c r="H84">
        <v>24886.240000000002</v>
      </c>
      <c r="I84" s="9" t="s">
        <v>383</v>
      </c>
      <c r="J84" s="9" t="s">
        <v>384</v>
      </c>
      <c r="K84" s="9" t="s">
        <v>385</v>
      </c>
      <c r="L84">
        <v>3009900</v>
      </c>
      <c r="M84" s="8">
        <v>45253</v>
      </c>
      <c r="N84" s="9" t="s">
        <v>88</v>
      </c>
      <c r="O84">
        <v>9.4999999999999998E-3</v>
      </c>
      <c r="P84">
        <v>1</v>
      </c>
      <c r="Q84" s="9" t="s">
        <v>1823</v>
      </c>
      <c r="R84" s="9" t="s">
        <v>1838</v>
      </c>
      <c r="S84" s="9" t="s">
        <v>1839</v>
      </c>
      <c r="T84" s="9" t="s">
        <v>1838</v>
      </c>
      <c r="U84" s="9" t="s">
        <v>1840</v>
      </c>
      <c r="V84" s="9" t="s">
        <v>1838</v>
      </c>
      <c r="W84" s="9" t="s">
        <v>1838</v>
      </c>
      <c r="X84" s="9" t="s">
        <v>1838</v>
      </c>
      <c r="Y84" s="9" t="s">
        <v>1841</v>
      </c>
      <c r="Z84">
        <v>4842179.1619999995</v>
      </c>
      <c r="AA84">
        <v>12553041.036323847</v>
      </c>
      <c r="AB84" s="9" t="s">
        <v>1850</v>
      </c>
      <c r="AC84" s="9" t="s">
        <v>1838</v>
      </c>
    </row>
    <row r="85" spans="1:29">
      <c r="A85" s="9" t="s">
        <v>386</v>
      </c>
      <c r="B85" s="9" t="s">
        <v>49</v>
      </c>
      <c r="C85" s="9" t="s">
        <v>50</v>
      </c>
      <c r="D85" s="9" t="s">
        <v>71</v>
      </c>
      <c r="E85">
        <v>2021</v>
      </c>
      <c r="F85">
        <v>7125154</v>
      </c>
      <c r="G85">
        <v>1.8100000000000002E-2</v>
      </c>
      <c r="H85">
        <v>129115.29</v>
      </c>
      <c r="I85" s="9" t="s">
        <v>387</v>
      </c>
      <c r="J85" s="9" t="s">
        <v>388</v>
      </c>
      <c r="K85" s="9" t="s">
        <v>389</v>
      </c>
      <c r="L85">
        <v>7000623</v>
      </c>
      <c r="M85" s="8">
        <v>43800</v>
      </c>
      <c r="N85" s="9" t="s">
        <v>50</v>
      </c>
      <c r="O85">
        <v>1.8100000000000002E-2</v>
      </c>
      <c r="P85">
        <v>1</v>
      </c>
      <c r="Q85" s="9" t="s">
        <v>1822</v>
      </c>
      <c r="R85" s="9" t="s">
        <v>1838</v>
      </c>
      <c r="S85" s="9" t="s">
        <v>1839</v>
      </c>
      <c r="T85" s="9" t="s">
        <v>1845</v>
      </c>
      <c r="U85" s="9" t="s">
        <v>1840</v>
      </c>
      <c r="V85" s="9" t="s">
        <v>1838</v>
      </c>
      <c r="W85" s="9" t="s">
        <v>1838</v>
      </c>
      <c r="X85" s="9" t="s">
        <v>1838</v>
      </c>
      <c r="Y85" s="9" t="s">
        <v>1841</v>
      </c>
      <c r="Z85">
        <v>4842179.1619999995</v>
      </c>
      <c r="AA85">
        <v>12553041.036323847</v>
      </c>
      <c r="AB85" s="9" t="s">
        <v>1850</v>
      </c>
      <c r="AC85" s="9" t="s">
        <v>1843</v>
      </c>
    </row>
    <row r="86" spans="1:29">
      <c r="A86" s="9" t="s">
        <v>393</v>
      </c>
      <c r="B86" s="9" t="s">
        <v>69</v>
      </c>
      <c r="C86" s="9" t="s">
        <v>70</v>
      </c>
      <c r="D86" s="9" t="s">
        <v>51</v>
      </c>
      <c r="E86">
        <v>2023</v>
      </c>
      <c r="F86">
        <v>594703</v>
      </c>
      <c r="G86">
        <v>1.26E-2</v>
      </c>
      <c r="H86">
        <v>7493.26</v>
      </c>
      <c r="I86" s="9" t="s">
        <v>394</v>
      </c>
      <c r="J86" s="9" t="s">
        <v>395</v>
      </c>
      <c r="K86" s="9" t="s">
        <v>396</v>
      </c>
      <c r="L86">
        <v>565118</v>
      </c>
      <c r="M86" s="8">
        <v>44710</v>
      </c>
      <c r="N86" s="9" t="s">
        <v>70</v>
      </c>
      <c r="O86">
        <v>1.26E-2</v>
      </c>
      <c r="P86">
        <v>1</v>
      </c>
      <c r="Q86" s="9" t="s">
        <v>1820</v>
      </c>
      <c r="R86" s="9" t="s">
        <v>1838</v>
      </c>
      <c r="S86" s="9" t="s">
        <v>1839</v>
      </c>
      <c r="T86" s="9" t="s">
        <v>1838</v>
      </c>
      <c r="U86" s="9" t="s">
        <v>1840</v>
      </c>
      <c r="V86" s="9" t="s">
        <v>1838</v>
      </c>
      <c r="W86" s="9" t="s">
        <v>1838</v>
      </c>
      <c r="X86" s="9" t="s">
        <v>1838</v>
      </c>
      <c r="Y86" s="9" t="s">
        <v>1841</v>
      </c>
      <c r="Z86">
        <v>4842179.1619999995</v>
      </c>
      <c r="AA86">
        <v>12553041.036323847</v>
      </c>
      <c r="AB86" s="9" t="s">
        <v>1850</v>
      </c>
      <c r="AC86" s="9" t="s">
        <v>1838</v>
      </c>
    </row>
    <row r="87" spans="1:29">
      <c r="A87" s="9" t="s">
        <v>397</v>
      </c>
      <c r="B87" s="9" t="s">
        <v>63</v>
      </c>
      <c r="C87" s="9" t="s">
        <v>64</v>
      </c>
      <c r="D87" s="9" t="s">
        <v>82</v>
      </c>
      <c r="E87">
        <v>2023</v>
      </c>
      <c r="F87">
        <v>4534945</v>
      </c>
      <c r="G87">
        <v>1.4800000000000001E-2</v>
      </c>
      <c r="H87">
        <v>67117.19</v>
      </c>
      <c r="I87" s="9" t="s">
        <v>398</v>
      </c>
      <c r="J87" s="9" t="s">
        <v>399</v>
      </c>
      <c r="K87" s="9" t="s">
        <v>400</v>
      </c>
      <c r="L87">
        <v>5090407</v>
      </c>
      <c r="M87" s="8">
        <v>44595</v>
      </c>
      <c r="N87" s="9" t="s">
        <v>64</v>
      </c>
      <c r="O87">
        <v>1.4800000000000001E-2</v>
      </c>
      <c r="P87">
        <v>1</v>
      </c>
      <c r="Q87" s="9" t="s">
        <v>1824</v>
      </c>
      <c r="R87" s="9" t="s">
        <v>1838</v>
      </c>
      <c r="S87" s="9" t="s">
        <v>1839</v>
      </c>
      <c r="T87" s="9" t="s">
        <v>1838</v>
      </c>
      <c r="U87" s="9" t="s">
        <v>1840</v>
      </c>
      <c r="V87" s="9" t="s">
        <v>1838</v>
      </c>
      <c r="W87" s="9" t="s">
        <v>1838</v>
      </c>
      <c r="X87" s="9" t="s">
        <v>1838</v>
      </c>
      <c r="Y87" s="9" t="s">
        <v>1841</v>
      </c>
      <c r="Z87">
        <v>4842179.1619999995</v>
      </c>
      <c r="AA87">
        <v>12553041.036323847</v>
      </c>
      <c r="AB87" s="9" t="s">
        <v>1850</v>
      </c>
      <c r="AC87" s="9" t="s">
        <v>1838</v>
      </c>
    </row>
    <row r="88" spans="1:29">
      <c r="A88" s="9" t="s">
        <v>401</v>
      </c>
      <c r="B88" s="9" t="s">
        <v>137</v>
      </c>
      <c r="C88" s="9" t="s">
        <v>138</v>
      </c>
      <c r="D88" s="9" t="s">
        <v>51</v>
      </c>
      <c r="E88">
        <v>2023</v>
      </c>
      <c r="F88">
        <v>1025977</v>
      </c>
      <c r="G88">
        <v>1.17E-2</v>
      </c>
      <c r="H88">
        <v>13029.91</v>
      </c>
      <c r="I88" s="9" t="s">
        <v>402</v>
      </c>
      <c r="J88" s="9" t="s">
        <v>403</v>
      </c>
      <c r="K88" s="9" t="s">
        <v>404</v>
      </c>
      <c r="L88">
        <v>1275584</v>
      </c>
      <c r="M88" s="8">
        <v>44811</v>
      </c>
      <c r="N88" s="9" t="s">
        <v>138</v>
      </c>
      <c r="O88">
        <v>1.2699999999999999E-2</v>
      </c>
      <c r="P88">
        <v>1</v>
      </c>
      <c r="Q88" s="9" t="s">
        <v>1820</v>
      </c>
      <c r="R88" s="9" t="s">
        <v>1838</v>
      </c>
      <c r="S88" s="9" t="s">
        <v>1839</v>
      </c>
      <c r="T88" s="9" t="s">
        <v>1838</v>
      </c>
      <c r="U88" s="9" t="s">
        <v>1840</v>
      </c>
      <c r="V88" s="9" t="s">
        <v>1838</v>
      </c>
      <c r="W88" s="9" t="s">
        <v>1838</v>
      </c>
      <c r="X88" s="9" t="s">
        <v>1838</v>
      </c>
      <c r="Y88" s="9" t="s">
        <v>1841</v>
      </c>
      <c r="Z88">
        <v>4842179.1619999995</v>
      </c>
      <c r="AA88">
        <v>12553041.036323847</v>
      </c>
      <c r="AB88" s="9" t="s">
        <v>1850</v>
      </c>
      <c r="AC88" s="9" t="s">
        <v>1838</v>
      </c>
    </row>
    <row r="89" spans="1:29">
      <c r="A89" s="9" t="s">
        <v>405</v>
      </c>
      <c r="B89" s="9" t="s">
        <v>131</v>
      </c>
      <c r="C89" s="9" t="s">
        <v>132</v>
      </c>
      <c r="D89" s="9" t="s">
        <v>97</v>
      </c>
      <c r="E89">
        <v>2021</v>
      </c>
      <c r="F89">
        <v>3415697</v>
      </c>
      <c r="G89">
        <v>2.0799999999999999E-2</v>
      </c>
      <c r="H89">
        <v>71046.5</v>
      </c>
      <c r="I89" s="9" t="s">
        <v>406</v>
      </c>
      <c r="J89" s="9" t="s">
        <v>407</v>
      </c>
      <c r="K89" s="9" t="s">
        <v>408</v>
      </c>
      <c r="L89">
        <v>3847493</v>
      </c>
      <c r="M89" s="8">
        <v>44637</v>
      </c>
      <c r="N89" s="9" t="s">
        <v>132</v>
      </c>
      <c r="O89">
        <v>2.0799999999999999E-2</v>
      </c>
      <c r="P89">
        <v>1</v>
      </c>
      <c r="Q89" s="9" t="s">
        <v>1821</v>
      </c>
      <c r="R89" s="9" t="s">
        <v>1838</v>
      </c>
      <c r="S89" s="9" t="s">
        <v>1839</v>
      </c>
      <c r="T89" s="9" t="s">
        <v>1838</v>
      </c>
      <c r="U89" s="9" t="s">
        <v>1840</v>
      </c>
      <c r="V89" s="9" t="s">
        <v>1838</v>
      </c>
      <c r="W89" s="9" t="s">
        <v>1838</v>
      </c>
      <c r="X89" s="9" t="s">
        <v>1838</v>
      </c>
      <c r="Y89" s="9" t="s">
        <v>1841</v>
      </c>
      <c r="Z89">
        <v>4842179.1619999995</v>
      </c>
      <c r="AA89">
        <v>12553041.036323847</v>
      </c>
      <c r="AB89" s="9" t="s">
        <v>1850</v>
      </c>
      <c r="AC89" s="9" t="s">
        <v>1838</v>
      </c>
    </row>
    <row r="90" spans="1:29">
      <c r="A90" s="9" t="s">
        <v>409</v>
      </c>
      <c r="B90" s="9" t="s">
        <v>150</v>
      </c>
      <c r="C90" s="9" t="s">
        <v>151</v>
      </c>
      <c r="D90" s="9" t="s">
        <v>51</v>
      </c>
      <c r="E90">
        <v>2023</v>
      </c>
      <c r="F90">
        <v>619606</v>
      </c>
      <c r="G90">
        <v>1.1299999999999999E-2</v>
      </c>
      <c r="H90">
        <v>7621.15</v>
      </c>
      <c r="I90" s="9" t="s">
        <v>410</v>
      </c>
      <c r="J90" s="9" t="s">
        <v>411</v>
      </c>
      <c r="K90" s="9" t="s">
        <v>412</v>
      </c>
      <c r="L90">
        <v>731384</v>
      </c>
      <c r="M90" s="8">
        <v>45320</v>
      </c>
      <c r="N90" s="9" t="s">
        <v>151</v>
      </c>
      <c r="O90">
        <v>1.23E-2</v>
      </c>
      <c r="P90">
        <v>1</v>
      </c>
      <c r="Q90" s="9" t="s">
        <v>1820</v>
      </c>
      <c r="R90" s="9" t="s">
        <v>1838</v>
      </c>
      <c r="S90" s="9" t="s">
        <v>1839</v>
      </c>
      <c r="T90" s="9" t="s">
        <v>1838</v>
      </c>
      <c r="U90" s="9" t="s">
        <v>1840</v>
      </c>
      <c r="V90" s="9" t="s">
        <v>1838</v>
      </c>
      <c r="W90" s="9" t="s">
        <v>1838</v>
      </c>
      <c r="X90" s="9" t="s">
        <v>1838</v>
      </c>
      <c r="Y90" s="9" t="s">
        <v>1841</v>
      </c>
      <c r="Z90">
        <v>4842179.1619999995</v>
      </c>
      <c r="AA90">
        <v>12553041.036323847</v>
      </c>
      <c r="AB90" s="9" t="s">
        <v>1850</v>
      </c>
      <c r="AC90" s="9" t="s">
        <v>1838</v>
      </c>
    </row>
    <row r="91" spans="1:29">
      <c r="A91" s="9" t="s">
        <v>413</v>
      </c>
      <c r="B91" s="9" t="s">
        <v>69</v>
      </c>
      <c r="C91" s="9" t="s">
        <v>70</v>
      </c>
      <c r="D91" s="9" t="s">
        <v>51</v>
      </c>
      <c r="E91">
        <v>2024</v>
      </c>
      <c r="F91">
        <v>850082</v>
      </c>
      <c r="G91">
        <v>1.26E-2</v>
      </c>
      <c r="H91">
        <v>10711.03</v>
      </c>
      <c r="I91" s="9" t="s">
        <v>414</v>
      </c>
      <c r="J91" s="9" t="s">
        <v>415</v>
      </c>
      <c r="K91" s="9" t="s">
        <v>416</v>
      </c>
      <c r="L91">
        <v>777676</v>
      </c>
      <c r="M91" s="8"/>
      <c r="N91" s="9" t="s">
        <v>70</v>
      </c>
      <c r="O91">
        <v>1.26E-2</v>
      </c>
      <c r="P91">
        <v>1</v>
      </c>
      <c r="Q91" s="9" t="s">
        <v>1820</v>
      </c>
      <c r="R91" s="9" t="s">
        <v>1838</v>
      </c>
      <c r="S91" s="9" t="s">
        <v>1839</v>
      </c>
      <c r="T91" s="9" t="s">
        <v>1838</v>
      </c>
      <c r="U91" s="9" t="s">
        <v>1840</v>
      </c>
      <c r="V91" s="9" t="s">
        <v>1838</v>
      </c>
      <c r="W91" s="9" t="s">
        <v>1838</v>
      </c>
      <c r="X91" s="9"/>
      <c r="Y91" s="9" t="s">
        <v>1841</v>
      </c>
      <c r="Z91">
        <v>4842179.1619999995</v>
      </c>
      <c r="AA91">
        <v>12553041.036323847</v>
      </c>
      <c r="AB91" s="9" t="s">
        <v>1850</v>
      </c>
      <c r="AC91" s="9"/>
    </row>
    <row r="92" spans="1:29">
      <c r="A92" s="9" t="s">
        <v>417</v>
      </c>
      <c r="B92" s="9" t="s">
        <v>87</v>
      </c>
      <c r="C92" s="9" t="s">
        <v>88</v>
      </c>
      <c r="D92" s="9" t="s">
        <v>58</v>
      </c>
      <c r="E92">
        <v>2023</v>
      </c>
      <c r="F92">
        <v>2148596</v>
      </c>
      <c r="G92">
        <v>9.4999999999999998E-3</v>
      </c>
      <c r="H92">
        <v>20411.66</v>
      </c>
      <c r="I92" s="9" t="s">
        <v>418</v>
      </c>
      <c r="J92" s="9" t="s">
        <v>419</v>
      </c>
      <c r="K92" s="9" t="s">
        <v>330</v>
      </c>
      <c r="L92">
        <v>2418904</v>
      </c>
      <c r="M92" s="8">
        <v>44572</v>
      </c>
      <c r="N92" s="9" t="s">
        <v>88</v>
      </c>
      <c r="O92">
        <v>9.4999999999999998E-3</v>
      </c>
      <c r="P92">
        <v>1</v>
      </c>
      <c r="Q92" s="9" t="s">
        <v>1823</v>
      </c>
      <c r="R92" s="9" t="s">
        <v>1838</v>
      </c>
      <c r="S92" s="9" t="s">
        <v>1839</v>
      </c>
      <c r="T92" s="9" t="s">
        <v>1838</v>
      </c>
      <c r="U92" s="9" t="s">
        <v>1840</v>
      </c>
      <c r="V92" s="9" t="s">
        <v>1838</v>
      </c>
      <c r="W92" s="9" t="s">
        <v>1838</v>
      </c>
      <c r="X92" s="9" t="s">
        <v>1838</v>
      </c>
      <c r="Y92" s="9" t="s">
        <v>1841</v>
      </c>
      <c r="Z92">
        <v>4842179.1619999995</v>
      </c>
      <c r="AA92">
        <v>12553041.036323847</v>
      </c>
      <c r="AB92" s="9" t="s">
        <v>1850</v>
      </c>
      <c r="AC92" s="9" t="s">
        <v>1838</v>
      </c>
    </row>
    <row r="93" spans="1:29">
      <c r="A93" s="9" t="s">
        <v>420</v>
      </c>
      <c r="B93" s="9" t="s">
        <v>69</v>
      </c>
      <c r="C93" s="9" t="s">
        <v>70</v>
      </c>
      <c r="D93" s="9" t="s">
        <v>82</v>
      </c>
      <c r="E93">
        <v>2021</v>
      </c>
      <c r="F93">
        <v>8290229</v>
      </c>
      <c r="G93">
        <v>1.49E-2</v>
      </c>
      <c r="H93">
        <v>123524.41</v>
      </c>
      <c r="I93" s="9" t="s">
        <v>421</v>
      </c>
      <c r="J93" s="9" t="s">
        <v>422</v>
      </c>
      <c r="K93" s="9" t="s">
        <v>423</v>
      </c>
      <c r="L93">
        <v>10248232</v>
      </c>
      <c r="M93" s="8">
        <v>43572</v>
      </c>
      <c r="N93" s="9" t="s">
        <v>70</v>
      </c>
      <c r="O93">
        <v>1.49E-2</v>
      </c>
      <c r="P93">
        <v>2</v>
      </c>
      <c r="Q93" s="9" t="s">
        <v>1824</v>
      </c>
      <c r="R93" s="9" t="s">
        <v>1838</v>
      </c>
      <c r="S93" s="9" t="s">
        <v>1839</v>
      </c>
      <c r="T93" s="9" t="s">
        <v>1838</v>
      </c>
      <c r="U93" s="9" t="s">
        <v>1844</v>
      </c>
      <c r="V93" s="9" t="s">
        <v>1838</v>
      </c>
      <c r="W93" s="9" t="s">
        <v>1838</v>
      </c>
      <c r="X93" s="9" t="s">
        <v>1838</v>
      </c>
      <c r="Y93" s="9" t="s">
        <v>1841</v>
      </c>
      <c r="Z93">
        <v>4842179.1619999995</v>
      </c>
      <c r="AA93">
        <v>12553041.036323847</v>
      </c>
      <c r="AB93" s="9" t="s">
        <v>1850</v>
      </c>
      <c r="AC93" s="9" t="s">
        <v>1843</v>
      </c>
    </row>
    <row r="94" spans="1:29">
      <c r="A94" s="9" t="s">
        <v>420</v>
      </c>
      <c r="B94" s="9" t="s">
        <v>101</v>
      </c>
      <c r="C94" s="9" t="s">
        <v>102</v>
      </c>
      <c r="D94" s="9" t="s">
        <v>97</v>
      </c>
      <c r="E94">
        <v>2022</v>
      </c>
      <c r="F94">
        <v>2376894</v>
      </c>
      <c r="G94">
        <v>2.0899999999999998E-2</v>
      </c>
      <c r="H94">
        <v>49677.08</v>
      </c>
      <c r="I94" s="9" t="s">
        <v>1765</v>
      </c>
      <c r="J94" s="9" t="s">
        <v>1766</v>
      </c>
      <c r="K94" s="9" t="s">
        <v>490</v>
      </c>
      <c r="L94">
        <v>2186068</v>
      </c>
      <c r="M94" s="8">
        <v>44922</v>
      </c>
      <c r="N94" s="9" t="s">
        <v>102</v>
      </c>
      <c r="O94">
        <v>2.0899999999999998E-2</v>
      </c>
      <c r="P94">
        <v>2</v>
      </c>
      <c r="Q94" s="9" t="s">
        <v>1821</v>
      </c>
      <c r="R94" s="9" t="s">
        <v>1838</v>
      </c>
      <c r="S94" s="9" t="s">
        <v>1839</v>
      </c>
      <c r="T94" s="9" t="s">
        <v>1838</v>
      </c>
      <c r="U94" s="9" t="s">
        <v>1844</v>
      </c>
      <c r="V94" s="9" t="s">
        <v>1838</v>
      </c>
      <c r="W94" s="9" t="s">
        <v>1838</v>
      </c>
      <c r="X94" s="9" t="s">
        <v>1838</v>
      </c>
      <c r="Y94" s="9" t="s">
        <v>1841</v>
      </c>
      <c r="Z94">
        <v>4842179.1619999995</v>
      </c>
      <c r="AA94">
        <v>12553041.036323847</v>
      </c>
      <c r="AB94" s="9" t="s">
        <v>1850</v>
      </c>
      <c r="AC94" s="9" t="s">
        <v>1843</v>
      </c>
    </row>
    <row r="95" spans="1:29">
      <c r="A95" s="9" t="s">
        <v>424</v>
      </c>
      <c r="B95" s="9" t="s">
        <v>131</v>
      </c>
      <c r="C95" s="9" t="s">
        <v>132</v>
      </c>
      <c r="D95" s="9" t="s">
        <v>425</v>
      </c>
      <c r="E95">
        <v>2024</v>
      </c>
      <c r="F95">
        <v>3348517</v>
      </c>
      <c r="G95">
        <v>9.7999999999999997E-3</v>
      </c>
      <c r="H95">
        <v>32815.47</v>
      </c>
      <c r="I95" s="9" t="s">
        <v>426</v>
      </c>
      <c r="J95" s="9" t="s">
        <v>427</v>
      </c>
      <c r="K95" s="9" t="s">
        <v>428</v>
      </c>
      <c r="L95">
        <v>3963571</v>
      </c>
      <c r="M95" s="8">
        <v>44851</v>
      </c>
      <c r="N95" s="9" t="s">
        <v>132</v>
      </c>
      <c r="P95">
        <v>1</v>
      </c>
      <c r="Q95" s="9"/>
      <c r="R95" s="9" t="s">
        <v>1838</v>
      </c>
      <c r="S95" s="9" t="s">
        <v>1839</v>
      </c>
      <c r="T95" s="9" t="s">
        <v>1845</v>
      </c>
      <c r="U95" s="9" t="s">
        <v>1840</v>
      </c>
      <c r="V95" s="9" t="s">
        <v>1838</v>
      </c>
      <c r="W95" s="9" t="s">
        <v>1842</v>
      </c>
      <c r="X95" s="9" t="s">
        <v>1838</v>
      </c>
      <c r="Y95" s="9" t="s">
        <v>1841</v>
      </c>
      <c r="Z95">
        <v>4842179.1619999995</v>
      </c>
      <c r="AA95">
        <v>12553041.036323847</v>
      </c>
      <c r="AB95" s="9" t="s">
        <v>1850</v>
      </c>
      <c r="AC95" s="9" t="s">
        <v>1843</v>
      </c>
    </row>
    <row r="96" spans="1:29">
      <c r="A96" s="9" t="s">
        <v>429</v>
      </c>
      <c r="B96" s="9" t="s">
        <v>150</v>
      </c>
      <c r="C96" s="9" t="s">
        <v>151</v>
      </c>
      <c r="D96" s="9" t="s">
        <v>51</v>
      </c>
      <c r="E96">
        <v>2023</v>
      </c>
      <c r="F96">
        <v>1160206</v>
      </c>
      <c r="G96">
        <v>1.23E-2</v>
      </c>
      <c r="H96">
        <v>14270.53</v>
      </c>
      <c r="I96" s="9" t="s">
        <v>430</v>
      </c>
      <c r="J96" s="9" t="s">
        <v>431</v>
      </c>
      <c r="K96" s="9" t="s">
        <v>416</v>
      </c>
      <c r="L96">
        <v>1370530</v>
      </c>
      <c r="M96" s="8">
        <v>44960</v>
      </c>
      <c r="N96" s="9" t="s">
        <v>151</v>
      </c>
      <c r="O96">
        <v>1.23E-2</v>
      </c>
      <c r="P96">
        <v>1</v>
      </c>
      <c r="Q96" s="9" t="s">
        <v>1820</v>
      </c>
      <c r="R96" s="9" t="s">
        <v>1838</v>
      </c>
      <c r="S96" s="9" t="s">
        <v>1839</v>
      </c>
      <c r="T96" s="9" t="s">
        <v>1838</v>
      </c>
      <c r="U96" s="9" t="s">
        <v>1840</v>
      </c>
      <c r="V96" s="9" t="s">
        <v>1838</v>
      </c>
      <c r="W96" s="9" t="s">
        <v>1838</v>
      </c>
      <c r="X96" s="9" t="s">
        <v>1838</v>
      </c>
      <c r="Y96" s="9" t="s">
        <v>1841</v>
      </c>
      <c r="Z96">
        <v>4842179.1619999995</v>
      </c>
      <c r="AA96">
        <v>12553041.036323847</v>
      </c>
      <c r="AB96" s="9" t="s">
        <v>1850</v>
      </c>
      <c r="AC96" s="9" t="s">
        <v>1838</v>
      </c>
    </row>
    <row r="97" spans="1:29">
      <c r="A97" s="9" t="s">
        <v>432</v>
      </c>
      <c r="B97" s="9" t="s">
        <v>131</v>
      </c>
      <c r="C97" s="9" t="s">
        <v>132</v>
      </c>
      <c r="D97" s="9" t="s">
        <v>82</v>
      </c>
      <c r="E97">
        <v>2021</v>
      </c>
      <c r="F97">
        <v>2695256</v>
      </c>
      <c r="G97">
        <v>1.5100000000000001E-2</v>
      </c>
      <c r="H97">
        <v>40698.370000000003</v>
      </c>
      <c r="I97" s="9" t="s">
        <v>433</v>
      </c>
      <c r="J97" s="9" t="s">
        <v>434</v>
      </c>
      <c r="K97" s="9" t="s">
        <v>389</v>
      </c>
      <c r="L97">
        <v>2546794</v>
      </c>
      <c r="M97" s="8">
        <v>45724</v>
      </c>
      <c r="N97" s="9" t="s">
        <v>132</v>
      </c>
      <c r="O97">
        <v>1.5100000000000001E-2</v>
      </c>
      <c r="P97">
        <v>1</v>
      </c>
      <c r="Q97" s="9" t="s">
        <v>1824</v>
      </c>
      <c r="R97" s="9" t="s">
        <v>1838</v>
      </c>
      <c r="S97" s="9" t="s">
        <v>1839</v>
      </c>
      <c r="T97" s="9" t="s">
        <v>1838</v>
      </c>
      <c r="U97" s="9" t="s">
        <v>1840</v>
      </c>
      <c r="V97" s="9" t="s">
        <v>1838</v>
      </c>
      <c r="W97" s="9" t="s">
        <v>1838</v>
      </c>
      <c r="X97" s="9" t="s">
        <v>1838</v>
      </c>
      <c r="Y97" s="9" t="s">
        <v>1841</v>
      </c>
      <c r="Z97">
        <v>4842179.1619999995</v>
      </c>
      <c r="AA97">
        <v>12553041.036323847</v>
      </c>
      <c r="AB97" s="9" t="s">
        <v>1850</v>
      </c>
      <c r="AC97" s="9" t="s">
        <v>1838</v>
      </c>
    </row>
    <row r="98" spans="1:29">
      <c r="A98" s="9" t="s">
        <v>435</v>
      </c>
      <c r="B98" s="9" t="s">
        <v>87</v>
      </c>
      <c r="C98" s="9" t="s">
        <v>88</v>
      </c>
      <c r="D98" s="9" t="s">
        <v>97</v>
      </c>
      <c r="E98">
        <v>2022</v>
      </c>
      <c r="F98">
        <v>2346944</v>
      </c>
      <c r="G98">
        <v>2.0500000000000001E-2</v>
      </c>
      <c r="H98">
        <v>48112.35</v>
      </c>
      <c r="I98" s="9" t="s">
        <v>436</v>
      </c>
      <c r="J98" s="9" t="s">
        <v>437</v>
      </c>
      <c r="K98" s="9" t="s">
        <v>129</v>
      </c>
      <c r="L98">
        <v>2215068</v>
      </c>
      <c r="M98" s="8">
        <v>44706</v>
      </c>
      <c r="N98" s="9" t="s">
        <v>88</v>
      </c>
      <c r="O98">
        <v>2.0500000000000001E-2</v>
      </c>
      <c r="P98">
        <v>1</v>
      </c>
      <c r="Q98" s="9" t="s">
        <v>1821</v>
      </c>
      <c r="R98" s="9" t="s">
        <v>1838</v>
      </c>
      <c r="S98" s="9" t="s">
        <v>1839</v>
      </c>
      <c r="T98" s="9" t="s">
        <v>1838</v>
      </c>
      <c r="U98" s="9" t="s">
        <v>1840</v>
      </c>
      <c r="V98" s="9" t="s">
        <v>1838</v>
      </c>
      <c r="W98" s="9" t="s">
        <v>1838</v>
      </c>
      <c r="X98" s="9" t="s">
        <v>1838</v>
      </c>
      <c r="Y98" s="9" t="s">
        <v>1841</v>
      </c>
      <c r="Z98">
        <v>4842179.1619999995</v>
      </c>
      <c r="AA98">
        <v>12553041.036323847</v>
      </c>
      <c r="AB98" s="9" t="s">
        <v>1850</v>
      </c>
      <c r="AC98" s="9" t="s">
        <v>1838</v>
      </c>
    </row>
    <row r="99" spans="1:29">
      <c r="A99" s="9" t="s">
        <v>438</v>
      </c>
      <c r="B99" s="9" t="s">
        <v>87</v>
      </c>
      <c r="C99" s="9" t="s">
        <v>88</v>
      </c>
      <c r="D99" s="9" t="s">
        <v>82</v>
      </c>
      <c r="E99">
        <v>2021</v>
      </c>
      <c r="F99">
        <v>7102492</v>
      </c>
      <c r="G99">
        <v>1.4800000000000001E-2</v>
      </c>
      <c r="H99">
        <v>105116.88</v>
      </c>
      <c r="I99" s="9" t="s">
        <v>439</v>
      </c>
      <c r="J99" s="9" t="s">
        <v>440</v>
      </c>
      <c r="K99" s="9" t="s">
        <v>202</v>
      </c>
      <c r="L99">
        <v>7050144</v>
      </c>
      <c r="M99" s="8">
        <v>44329</v>
      </c>
      <c r="N99" s="9" t="s">
        <v>88</v>
      </c>
      <c r="O99">
        <v>1.4800000000000001E-2</v>
      </c>
      <c r="P99">
        <v>1</v>
      </c>
      <c r="Q99" s="9" t="s">
        <v>1824</v>
      </c>
      <c r="R99" s="9" t="s">
        <v>1838</v>
      </c>
      <c r="S99" s="9" t="s">
        <v>1839</v>
      </c>
      <c r="T99" s="9" t="s">
        <v>1838</v>
      </c>
      <c r="U99" s="9" t="s">
        <v>1840</v>
      </c>
      <c r="V99" s="9" t="s">
        <v>1838</v>
      </c>
      <c r="W99" s="9" t="s">
        <v>1838</v>
      </c>
      <c r="X99" s="9" t="s">
        <v>1838</v>
      </c>
      <c r="Y99" s="9" t="s">
        <v>1841</v>
      </c>
      <c r="Z99">
        <v>4842179.1619999995</v>
      </c>
      <c r="AA99">
        <v>12553041.036323847</v>
      </c>
      <c r="AB99" s="9" t="s">
        <v>1850</v>
      </c>
      <c r="AC99" s="9" t="s">
        <v>1838</v>
      </c>
    </row>
    <row r="100" spans="1:29">
      <c r="A100" s="9" t="s">
        <v>441</v>
      </c>
      <c r="B100" s="9" t="s">
        <v>87</v>
      </c>
      <c r="C100" s="9" t="s">
        <v>88</v>
      </c>
      <c r="D100" s="9" t="s">
        <v>58</v>
      </c>
      <c r="E100">
        <v>2021</v>
      </c>
      <c r="F100">
        <v>1725457</v>
      </c>
      <c r="G100">
        <v>9.4999999999999998E-3</v>
      </c>
      <c r="H100">
        <v>16391.84</v>
      </c>
      <c r="I100" s="9" t="s">
        <v>442</v>
      </c>
      <c r="J100" s="9" t="s">
        <v>443</v>
      </c>
      <c r="K100" s="9" t="s">
        <v>444</v>
      </c>
      <c r="L100">
        <v>1803909</v>
      </c>
      <c r="M100" s="8">
        <v>45368</v>
      </c>
      <c r="N100" s="9" t="s">
        <v>88</v>
      </c>
      <c r="O100">
        <v>9.4999999999999998E-3</v>
      </c>
      <c r="P100">
        <v>1</v>
      </c>
      <c r="Q100" s="9" t="s">
        <v>1823</v>
      </c>
      <c r="R100" s="9" t="s">
        <v>1838</v>
      </c>
      <c r="S100" s="9" t="s">
        <v>1839</v>
      </c>
      <c r="T100" s="9" t="s">
        <v>1838</v>
      </c>
      <c r="U100" s="9" t="s">
        <v>1840</v>
      </c>
      <c r="V100" s="9" t="s">
        <v>1838</v>
      </c>
      <c r="W100" s="9" t="s">
        <v>1838</v>
      </c>
      <c r="X100" s="9" t="s">
        <v>1838</v>
      </c>
      <c r="Y100" s="9" t="s">
        <v>1841</v>
      </c>
      <c r="Z100">
        <v>4842179.1619999995</v>
      </c>
      <c r="AA100">
        <v>12553041.036323847</v>
      </c>
      <c r="AB100" s="9" t="s">
        <v>1850</v>
      </c>
      <c r="AC100" s="9" t="s">
        <v>1838</v>
      </c>
    </row>
    <row r="101" spans="1:29">
      <c r="A101" s="9" t="s">
        <v>445</v>
      </c>
      <c r="B101" s="9" t="s">
        <v>76</v>
      </c>
      <c r="C101" s="9" t="s">
        <v>77</v>
      </c>
      <c r="D101" s="9" t="s">
        <v>71</v>
      </c>
      <c r="E101">
        <v>2022</v>
      </c>
      <c r="F101">
        <v>3695680</v>
      </c>
      <c r="G101">
        <v>1.84E-2</v>
      </c>
      <c r="H101">
        <v>68000.509999999995</v>
      </c>
      <c r="I101" s="9" t="s">
        <v>446</v>
      </c>
      <c r="J101" s="9" t="s">
        <v>447</v>
      </c>
      <c r="K101" s="9" t="s">
        <v>448</v>
      </c>
      <c r="L101">
        <v>3451337</v>
      </c>
      <c r="M101" s="8">
        <v>44654</v>
      </c>
      <c r="N101" s="9" t="s">
        <v>77</v>
      </c>
      <c r="O101">
        <v>1.84E-2</v>
      </c>
      <c r="P101">
        <v>1</v>
      </c>
      <c r="Q101" s="9" t="s">
        <v>1822</v>
      </c>
      <c r="R101" s="9" t="s">
        <v>1838</v>
      </c>
      <c r="S101" s="9" t="s">
        <v>1839</v>
      </c>
      <c r="T101" s="9" t="s">
        <v>1838</v>
      </c>
      <c r="U101" s="9" t="s">
        <v>1840</v>
      </c>
      <c r="V101" s="9" t="s">
        <v>1838</v>
      </c>
      <c r="W101" s="9" t="s">
        <v>1838</v>
      </c>
      <c r="X101" s="9" t="s">
        <v>1838</v>
      </c>
      <c r="Y101" s="9" t="s">
        <v>1841</v>
      </c>
      <c r="Z101">
        <v>4842179.1619999995</v>
      </c>
      <c r="AA101">
        <v>12553041.036323847</v>
      </c>
      <c r="AB101" s="9" t="s">
        <v>1850</v>
      </c>
      <c r="AC101" s="9" t="s">
        <v>1838</v>
      </c>
    </row>
    <row r="102" spans="1:29">
      <c r="A102" s="9" t="s">
        <v>449</v>
      </c>
      <c r="B102" s="9" t="s">
        <v>69</v>
      </c>
      <c r="C102" s="9" t="s">
        <v>70</v>
      </c>
      <c r="D102" s="9" t="s">
        <v>82</v>
      </c>
      <c r="E102">
        <v>2024</v>
      </c>
      <c r="F102">
        <v>4603435</v>
      </c>
      <c r="G102">
        <v>1.49E-2</v>
      </c>
      <c r="H102">
        <v>68591.179999999993</v>
      </c>
      <c r="I102" s="9" t="s">
        <v>450</v>
      </c>
      <c r="J102" s="9" t="s">
        <v>451</v>
      </c>
      <c r="K102" s="9" t="s">
        <v>291</v>
      </c>
      <c r="L102">
        <v>4288179</v>
      </c>
      <c r="M102" s="8">
        <v>45002</v>
      </c>
      <c r="N102" s="9" t="s">
        <v>70</v>
      </c>
      <c r="O102">
        <v>1.49E-2</v>
      </c>
      <c r="P102">
        <v>1</v>
      </c>
      <c r="Q102" s="9" t="s">
        <v>1824</v>
      </c>
      <c r="R102" s="9" t="s">
        <v>1838</v>
      </c>
      <c r="S102" s="9" t="s">
        <v>1839</v>
      </c>
      <c r="T102" s="9" t="s">
        <v>1838</v>
      </c>
      <c r="U102" s="9" t="s">
        <v>1840</v>
      </c>
      <c r="V102" s="9" t="s">
        <v>1838</v>
      </c>
      <c r="W102" s="9" t="s">
        <v>1838</v>
      </c>
      <c r="X102" s="9" t="s">
        <v>1838</v>
      </c>
      <c r="Y102" s="9" t="s">
        <v>1841</v>
      </c>
      <c r="Z102">
        <v>4842179.1619999995</v>
      </c>
      <c r="AA102">
        <v>12553041.036323847</v>
      </c>
      <c r="AB102" s="9" t="s">
        <v>1850</v>
      </c>
      <c r="AC102" s="9" t="s">
        <v>1838</v>
      </c>
    </row>
    <row r="103" spans="1:29">
      <c r="A103" s="9" t="s">
        <v>452</v>
      </c>
      <c r="B103" s="9" t="s">
        <v>56</v>
      </c>
      <c r="C103" s="9" t="s">
        <v>57</v>
      </c>
      <c r="D103" s="9" t="s">
        <v>58</v>
      </c>
      <c r="E103">
        <v>2022</v>
      </c>
      <c r="F103">
        <v>1030628</v>
      </c>
      <c r="G103">
        <v>9.4000000000000004E-3</v>
      </c>
      <c r="H103">
        <v>9687.9</v>
      </c>
      <c r="I103" s="9" t="s">
        <v>453</v>
      </c>
      <c r="J103" s="9" t="s">
        <v>454</v>
      </c>
      <c r="K103" s="9" t="s">
        <v>455</v>
      </c>
      <c r="L103">
        <v>1059508</v>
      </c>
      <c r="M103" s="8">
        <v>45117</v>
      </c>
      <c r="N103" s="9" t="s">
        <v>57</v>
      </c>
      <c r="O103">
        <v>9.4000000000000004E-3</v>
      </c>
      <c r="P103">
        <v>1</v>
      </c>
      <c r="Q103" s="9" t="s">
        <v>1823</v>
      </c>
      <c r="R103" s="9" t="s">
        <v>1838</v>
      </c>
      <c r="S103" s="9" t="s">
        <v>1839</v>
      </c>
      <c r="T103" s="9" t="s">
        <v>1838</v>
      </c>
      <c r="U103" s="9" t="s">
        <v>1840</v>
      </c>
      <c r="V103" s="9" t="s">
        <v>1838</v>
      </c>
      <c r="W103" s="9" t="s">
        <v>1838</v>
      </c>
      <c r="X103" s="9" t="s">
        <v>1838</v>
      </c>
      <c r="Y103" s="9" t="s">
        <v>1841</v>
      </c>
      <c r="Z103">
        <v>4842179.1619999995</v>
      </c>
      <c r="AA103">
        <v>12553041.036323847</v>
      </c>
      <c r="AB103" s="9" t="s">
        <v>1850</v>
      </c>
      <c r="AC103" s="9" t="s">
        <v>1838</v>
      </c>
    </row>
    <row r="104" spans="1:29">
      <c r="A104" s="9" t="s">
        <v>456</v>
      </c>
      <c r="B104" s="9" t="s">
        <v>150</v>
      </c>
      <c r="C104" s="9" t="s">
        <v>151</v>
      </c>
      <c r="D104" s="9" t="s">
        <v>51</v>
      </c>
      <c r="E104">
        <v>2024</v>
      </c>
      <c r="F104">
        <v>409934</v>
      </c>
      <c r="G104">
        <v>1.23E-2</v>
      </c>
      <c r="H104">
        <v>5042.1899999999996</v>
      </c>
      <c r="I104" s="9" t="s">
        <v>457</v>
      </c>
      <c r="J104" s="9" t="s">
        <v>458</v>
      </c>
      <c r="K104" s="9" t="s">
        <v>459</v>
      </c>
      <c r="L104">
        <v>508842</v>
      </c>
      <c r="M104" s="8">
        <v>45003</v>
      </c>
      <c r="N104" s="9" t="s">
        <v>151</v>
      </c>
      <c r="O104">
        <v>1.23E-2</v>
      </c>
      <c r="P104">
        <v>1</v>
      </c>
      <c r="Q104" s="9" t="s">
        <v>1820</v>
      </c>
      <c r="R104" s="9" t="s">
        <v>1838</v>
      </c>
      <c r="S104" s="9" t="s">
        <v>1839</v>
      </c>
      <c r="T104" s="9" t="s">
        <v>1838</v>
      </c>
      <c r="U104" s="9" t="s">
        <v>1840</v>
      </c>
      <c r="V104" s="9" t="s">
        <v>1838</v>
      </c>
      <c r="W104" s="9" t="s">
        <v>1838</v>
      </c>
      <c r="X104" s="9" t="s">
        <v>1838</v>
      </c>
      <c r="Y104" s="9" t="s">
        <v>1841</v>
      </c>
      <c r="Z104">
        <v>4842179.1619999995</v>
      </c>
      <c r="AA104">
        <v>12553041.036323847</v>
      </c>
      <c r="AB104" s="9" t="s">
        <v>1850</v>
      </c>
      <c r="AC104" s="9" t="s">
        <v>1838</v>
      </c>
    </row>
    <row r="105" spans="1:29">
      <c r="A105" s="9" t="s">
        <v>460</v>
      </c>
      <c r="B105" s="9" t="s">
        <v>150</v>
      </c>
      <c r="C105" s="9" t="s">
        <v>50</v>
      </c>
      <c r="D105" s="9" t="s">
        <v>71</v>
      </c>
      <c r="E105">
        <v>2023</v>
      </c>
      <c r="F105">
        <v>7041987</v>
      </c>
      <c r="G105">
        <v>1.83E-2</v>
      </c>
      <c r="H105">
        <v>128868.36</v>
      </c>
      <c r="I105" s="9" t="s">
        <v>461</v>
      </c>
      <c r="J105" s="9" t="s">
        <v>462</v>
      </c>
      <c r="K105" s="9" t="s">
        <v>463</v>
      </c>
      <c r="L105">
        <v>7146124</v>
      </c>
      <c r="M105" s="8">
        <v>45086</v>
      </c>
      <c r="N105" s="9" t="s">
        <v>151</v>
      </c>
      <c r="O105">
        <v>1.83E-2</v>
      </c>
      <c r="P105">
        <v>1</v>
      </c>
      <c r="Q105" s="9" t="s">
        <v>1822</v>
      </c>
      <c r="R105" s="9" t="s">
        <v>1838</v>
      </c>
      <c r="S105" s="9" t="s">
        <v>1845</v>
      </c>
      <c r="T105" s="9" t="s">
        <v>1838</v>
      </c>
      <c r="U105" s="9" t="s">
        <v>1840</v>
      </c>
      <c r="V105" s="9" t="s">
        <v>1838</v>
      </c>
      <c r="W105" s="9" t="s">
        <v>1838</v>
      </c>
      <c r="X105" s="9" t="s">
        <v>1838</v>
      </c>
      <c r="Y105" s="9" t="s">
        <v>1841</v>
      </c>
      <c r="Z105">
        <v>4842179.1619999995</v>
      </c>
      <c r="AA105">
        <v>12553041.036323847</v>
      </c>
      <c r="AB105" s="9" t="s">
        <v>1850</v>
      </c>
      <c r="AC105" s="9" t="s">
        <v>1843</v>
      </c>
    </row>
    <row r="106" spans="1:29">
      <c r="A106" s="9" t="s">
        <v>464</v>
      </c>
      <c r="B106" s="9" t="s">
        <v>150</v>
      </c>
      <c r="C106" s="9" t="s">
        <v>151</v>
      </c>
      <c r="D106" s="9" t="s">
        <v>97</v>
      </c>
      <c r="E106">
        <v>2024</v>
      </c>
      <c r="F106">
        <v>5530194</v>
      </c>
      <c r="G106">
        <v>2.0299999999999999E-2</v>
      </c>
      <c r="H106">
        <v>112262.94</v>
      </c>
      <c r="I106" s="9" t="s">
        <v>465</v>
      </c>
      <c r="J106" s="9" t="s">
        <v>466</v>
      </c>
      <c r="K106" s="9" t="s">
        <v>326</v>
      </c>
      <c r="L106">
        <v>6106970</v>
      </c>
      <c r="M106" s="8">
        <v>45682</v>
      </c>
      <c r="N106" s="9" t="s">
        <v>151</v>
      </c>
      <c r="O106">
        <v>2.0299999999999999E-2</v>
      </c>
      <c r="P106">
        <v>1</v>
      </c>
      <c r="Q106" s="9" t="s">
        <v>1821</v>
      </c>
      <c r="R106" s="9" t="s">
        <v>1838</v>
      </c>
      <c r="S106" s="9" t="s">
        <v>1839</v>
      </c>
      <c r="T106" s="9" t="s">
        <v>1838</v>
      </c>
      <c r="U106" s="9" t="s">
        <v>1840</v>
      </c>
      <c r="V106" s="9" t="s">
        <v>1838</v>
      </c>
      <c r="W106" s="9" t="s">
        <v>1838</v>
      </c>
      <c r="X106" s="9" t="s">
        <v>1838</v>
      </c>
      <c r="Y106" s="9" t="s">
        <v>1841</v>
      </c>
      <c r="Z106">
        <v>4842179.1619999995</v>
      </c>
      <c r="AA106">
        <v>12553041.036323847</v>
      </c>
      <c r="AB106" s="9" t="s">
        <v>1850</v>
      </c>
      <c r="AC106" s="9" t="s">
        <v>1838</v>
      </c>
    </row>
    <row r="107" spans="1:29">
      <c r="A107" s="9" t="s">
        <v>467</v>
      </c>
      <c r="B107" s="9" t="s">
        <v>63</v>
      </c>
      <c r="C107" s="9" t="s">
        <v>64</v>
      </c>
      <c r="D107" s="9" t="s">
        <v>82</v>
      </c>
      <c r="E107">
        <v>2024</v>
      </c>
      <c r="F107">
        <v>4758125</v>
      </c>
      <c r="G107">
        <v>1.4800000000000001E-2</v>
      </c>
      <c r="H107">
        <v>70420.25</v>
      </c>
      <c r="I107" s="9" t="s">
        <v>468</v>
      </c>
      <c r="J107" s="9" t="s">
        <v>469</v>
      </c>
      <c r="K107" s="9" t="s">
        <v>470</v>
      </c>
      <c r="L107">
        <v>5235839</v>
      </c>
      <c r="M107" s="8">
        <v>45631</v>
      </c>
      <c r="N107" s="9" t="s">
        <v>64</v>
      </c>
      <c r="O107">
        <v>1.4800000000000001E-2</v>
      </c>
      <c r="P107">
        <v>1</v>
      </c>
      <c r="Q107" s="9" t="s">
        <v>1824</v>
      </c>
      <c r="R107" s="9" t="s">
        <v>1838</v>
      </c>
      <c r="S107" s="9" t="s">
        <v>1839</v>
      </c>
      <c r="T107" s="9" t="s">
        <v>1838</v>
      </c>
      <c r="U107" s="9" t="s">
        <v>1840</v>
      </c>
      <c r="V107" s="9" t="s">
        <v>1838</v>
      </c>
      <c r="W107" s="9" t="s">
        <v>1838</v>
      </c>
      <c r="X107" s="9" t="s">
        <v>1838</v>
      </c>
      <c r="Y107" s="9" t="s">
        <v>1841</v>
      </c>
      <c r="Z107">
        <v>4842179.1619999995</v>
      </c>
      <c r="AA107">
        <v>12553041.036323847</v>
      </c>
      <c r="AB107" s="9" t="s">
        <v>1850</v>
      </c>
      <c r="AC107" s="9" t="s">
        <v>1838</v>
      </c>
    </row>
    <row r="108" spans="1:29">
      <c r="A108" s="9" t="s">
        <v>471</v>
      </c>
      <c r="B108" s="9" t="s">
        <v>49</v>
      </c>
      <c r="C108" s="9" t="s">
        <v>50</v>
      </c>
      <c r="D108" s="9" t="s">
        <v>97</v>
      </c>
      <c r="E108">
        <v>2021</v>
      </c>
      <c r="F108">
        <v>2374152</v>
      </c>
      <c r="G108">
        <v>2.01E-2</v>
      </c>
      <c r="H108">
        <v>47720.46</v>
      </c>
      <c r="I108" s="9" t="s">
        <v>472</v>
      </c>
      <c r="J108" s="9" t="s">
        <v>473</v>
      </c>
      <c r="K108" s="9" t="s">
        <v>474</v>
      </c>
      <c r="L108">
        <v>2449861</v>
      </c>
      <c r="M108" s="8">
        <v>44175</v>
      </c>
      <c r="N108" s="9" t="s">
        <v>50</v>
      </c>
      <c r="O108">
        <v>2.01E-2</v>
      </c>
      <c r="P108">
        <v>1</v>
      </c>
      <c r="Q108" s="9" t="s">
        <v>1821</v>
      </c>
      <c r="R108" s="9" t="s">
        <v>1838</v>
      </c>
      <c r="S108" s="9" t="s">
        <v>1839</v>
      </c>
      <c r="T108" s="9" t="s">
        <v>1838</v>
      </c>
      <c r="U108" s="9" t="s">
        <v>1840</v>
      </c>
      <c r="V108" s="9" t="s">
        <v>1838</v>
      </c>
      <c r="W108" s="9" t="s">
        <v>1838</v>
      </c>
      <c r="X108" s="9" t="s">
        <v>1838</v>
      </c>
      <c r="Y108" s="9" t="s">
        <v>1841</v>
      </c>
      <c r="Z108">
        <v>4842179.1619999995</v>
      </c>
      <c r="AA108">
        <v>12553041.036323847</v>
      </c>
      <c r="AB108" s="9" t="s">
        <v>1850</v>
      </c>
      <c r="AC108" s="9" t="s">
        <v>1838</v>
      </c>
    </row>
    <row r="109" spans="1:29">
      <c r="A109" s="9" t="s">
        <v>475</v>
      </c>
      <c r="B109" s="9" t="s">
        <v>101</v>
      </c>
      <c r="C109" s="9" t="s">
        <v>102</v>
      </c>
      <c r="D109" s="9" t="s">
        <v>82</v>
      </c>
      <c r="E109">
        <v>2023</v>
      </c>
      <c r="F109">
        <v>7592179</v>
      </c>
      <c r="G109">
        <v>1.52E-2</v>
      </c>
      <c r="H109">
        <v>115401.12</v>
      </c>
      <c r="I109" s="9" t="s">
        <v>476</v>
      </c>
      <c r="J109" s="9" t="s">
        <v>477</v>
      </c>
      <c r="K109" s="9" t="s">
        <v>478</v>
      </c>
      <c r="L109">
        <v>8706300</v>
      </c>
      <c r="M109" s="8">
        <v>44480</v>
      </c>
      <c r="N109" s="9" t="s">
        <v>102</v>
      </c>
      <c r="O109">
        <v>1.52E-2</v>
      </c>
      <c r="P109">
        <v>1</v>
      </c>
      <c r="Q109" s="9" t="s">
        <v>1824</v>
      </c>
      <c r="R109" s="9" t="s">
        <v>1838</v>
      </c>
      <c r="S109" s="9" t="s">
        <v>1839</v>
      </c>
      <c r="T109" s="9" t="s">
        <v>1838</v>
      </c>
      <c r="U109" s="9" t="s">
        <v>1840</v>
      </c>
      <c r="V109" s="9" t="s">
        <v>1838</v>
      </c>
      <c r="W109" s="9" t="s">
        <v>1838</v>
      </c>
      <c r="X109" s="9" t="s">
        <v>1838</v>
      </c>
      <c r="Y109" s="9" t="s">
        <v>1841</v>
      </c>
      <c r="Z109">
        <v>4842179.1619999995</v>
      </c>
      <c r="AA109">
        <v>12553041.036323847</v>
      </c>
      <c r="AB109" s="9" t="s">
        <v>1850</v>
      </c>
      <c r="AC109" s="9" t="s">
        <v>1838</v>
      </c>
    </row>
    <row r="110" spans="1:29">
      <c r="A110" s="9" t="s">
        <v>479</v>
      </c>
      <c r="B110" s="9" t="s">
        <v>101</v>
      </c>
      <c r="C110" s="9" t="s">
        <v>102</v>
      </c>
      <c r="D110" s="9" t="s">
        <v>71</v>
      </c>
      <c r="E110">
        <v>2023</v>
      </c>
      <c r="F110">
        <v>3547251</v>
      </c>
      <c r="G110">
        <v>1.7899999999999999E-2</v>
      </c>
      <c r="H110">
        <v>67043.039999999994</v>
      </c>
      <c r="I110" s="9" t="s">
        <v>480</v>
      </c>
      <c r="J110" s="9" t="s">
        <v>481</v>
      </c>
      <c r="K110" s="9" t="s">
        <v>482</v>
      </c>
      <c r="L110">
        <v>4339719</v>
      </c>
      <c r="M110" s="8">
        <v>45174</v>
      </c>
      <c r="N110" s="9" t="s">
        <v>102</v>
      </c>
      <c r="O110">
        <v>1.89E-2</v>
      </c>
      <c r="P110">
        <v>1</v>
      </c>
      <c r="Q110" s="9" t="s">
        <v>1822</v>
      </c>
      <c r="R110" s="9" t="s">
        <v>1838</v>
      </c>
      <c r="S110" s="9" t="s">
        <v>1839</v>
      </c>
      <c r="T110" s="9" t="s">
        <v>1838</v>
      </c>
      <c r="U110" s="9" t="s">
        <v>1840</v>
      </c>
      <c r="V110" s="9" t="s">
        <v>1838</v>
      </c>
      <c r="W110" s="9" t="s">
        <v>1838</v>
      </c>
      <c r="X110" s="9" t="s">
        <v>1838</v>
      </c>
      <c r="Y110" s="9" t="s">
        <v>1841</v>
      </c>
      <c r="Z110">
        <v>4842179.1619999995</v>
      </c>
      <c r="AA110">
        <v>12553041.036323847</v>
      </c>
      <c r="AB110" s="9" t="s">
        <v>1850</v>
      </c>
      <c r="AC110" s="9" t="s">
        <v>1838</v>
      </c>
    </row>
    <row r="111" spans="1:29">
      <c r="A111" s="9" t="s">
        <v>483</v>
      </c>
      <c r="B111" s="9" t="s">
        <v>137</v>
      </c>
      <c r="C111" s="9" t="s">
        <v>64</v>
      </c>
      <c r="D111" s="9" t="s">
        <v>58</v>
      </c>
      <c r="E111">
        <v>2022</v>
      </c>
      <c r="F111">
        <v>1001845</v>
      </c>
      <c r="G111">
        <v>9.7000000000000003E-3</v>
      </c>
      <c r="H111">
        <v>9717.9</v>
      </c>
      <c r="I111" s="9" t="s">
        <v>484</v>
      </c>
      <c r="J111" s="9" t="s">
        <v>485</v>
      </c>
      <c r="K111" s="9" t="s">
        <v>486</v>
      </c>
      <c r="L111">
        <v>1153199</v>
      </c>
      <c r="M111" s="8">
        <v>43877</v>
      </c>
      <c r="N111" s="9" t="s">
        <v>138</v>
      </c>
      <c r="O111">
        <v>9.7000000000000003E-3</v>
      </c>
      <c r="P111">
        <v>1</v>
      </c>
      <c r="Q111" s="9" t="s">
        <v>1823</v>
      </c>
      <c r="R111" s="9" t="s">
        <v>1838</v>
      </c>
      <c r="S111" s="9" t="s">
        <v>1845</v>
      </c>
      <c r="T111" s="9" t="s">
        <v>1838</v>
      </c>
      <c r="U111" s="9" t="s">
        <v>1840</v>
      </c>
      <c r="V111" s="9" t="s">
        <v>1838</v>
      </c>
      <c r="W111" s="9" t="s">
        <v>1838</v>
      </c>
      <c r="X111" s="9" t="s">
        <v>1838</v>
      </c>
      <c r="Y111" s="9" t="s">
        <v>1841</v>
      </c>
      <c r="Z111">
        <v>4842179.1619999995</v>
      </c>
      <c r="AA111">
        <v>12553041.036323847</v>
      </c>
      <c r="AB111" s="9" t="s">
        <v>1850</v>
      </c>
      <c r="AC111" s="9" t="s">
        <v>1843</v>
      </c>
    </row>
    <row r="112" spans="1:29">
      <c r="A112" s="9" t="s">
        <v>487</v>
      </c>
      <c r="B112" s="9" t="s">
        <v>131</v>
      </c>
      <c r="C112" s="9" t="s">
        <v>132</v>
      </c>
      <c r="D112" s="9" t="s">
        <v>51</v>
      </c>
      <c r="E112">
        <v>2022</v>
      </c>
      <c r="F112">
        <v>706173</v>
      </c>
      <c r="G112">
        <v>1.2800000000000001E-2</v>
      </c>
      <c r="H112">
        <v>9039.01</v>
      </c>
      <c r="I112" s="9" t="s">
        <v>488</v>
      </c>
      <c r="J112" s="9" t="s">
        <v>489</v>
      </c>
      <c r="K112" s="9" t="s">
        <v>490</v>
      </c>
      <c r="L112">
        <v>862853</v>
      </c>
      <c r="M112" s="8">
        <v>45092</v>
      </c>
      <c r="N112" s="9" t="s">
        <v>132</v>
      </c>
      <c r="O112">
        <v>1.2800000000000001E-2</v>
      </c>
      <c r="P112">
        <v>1</v>
      </c>
      <c r="Q112" s="9" t="s">
        <v>1820</v>
      </c>
      <c r="R112" s="9" t="s">
        <v>1838</v>
      </c>
      <c r="S112" s="9" t="s">
        <v>1839</v>
      </c>
      <c r="T112" s="9" t="s">
        <v>1838</v>
      </c>
      <c r="U112" s="9" t="s">
        <v>1840</v>
      </c>
      <c r="V112" s="9" t="s">
        <v>1838</v>
      </c>
      <c r="W112" s="9" t="s">
        <v>1838</v>
      </c>
      <c r="X112" s="9" t="s">
        <v>1838</v>
      </c>
      <c r="Y112" s="9" t="s">
        <v>1841</v>
      </c>
      <c r="Z112">
        <v>4842179.1619999995</v>
      </c>
      <c r="AA112">
        <v>12553041.036323847</v>
      </c>
      <c r="AB112" s="9" t="s">
        <v>1850</v>
      </c>
      <c r="AC112" s="9" t="s">
        <v>1838</v>
      </c>
    </row>
    <row r="113" spans="1:29">
      <c r="A113" s="9" t="s">
        <v>491</v>
      </c>
      <c r="B113" s="9" t="s">
        <v>101</v>
      </c>
      <c r="C113" s="9" t="s">
        <v>102</v>
      </c>
      <c r="D113" s="9" t="s">
        <v>97</v>
      </c>
      <c r="E113">
        <v>2023</v>
      </c>
      <c r="F113">
        <v>4297355</v>
      </c>
      <c r="G113">
        <v>2.0899999999999998E-2</v>
      </c>
      <c r="H113">
        <v>89814.720000000001</v>
      </c>
      <c r="I113" s="9" t="s">
        <v>492</v>
      </c>
      <c r="J113" s="9" t="s">
        <v>493</v>
      </c>
      <c r="K113" s="9" t="s">
        <v>494</v>
      </c>
      <c r="L113">
        <v>4037049</v>
      </c>
      <c r="M113" s="8">
        <v>44163</v>
      </c>
      <c r="N113" s="9" t="s">
        <v>102</v>
      </c>
      <c r="O113">
        <v>2.0899999999999998E-2</v>
      </c>
      <c r="P113">
        <v>1</v>
      </c>
      <c r="Q113" s="9" t="s">
        <v>1821</v>
      </c>
      <c r="R113" s="9" t="s">
        <v>1838</v>
      </c>
      <c r="S113" s="9" t="s">
        <v>1839</v>
      </c>
      <c r="T113" s="9" t="s">
        <v>1838</v>
      </c>
      <c r="U113" s="9" t="s">
        <v>1840</v>
      </c>
      <c r="V113" s="9" t="s">
        <v>1838</v>
      </c>
      <c r="W113" s="9" t="s">
        <v>1838</v>
      </c>
      <c r="X113" s="9" t="s">
        <v>1838</v>
      </c>
      <c r="Y113" s="9" t="s">
        <v>1841</v>
      </c>
      <c r="Z113">
        <v>4842179.1619999995</v>
      </c>
      <c r="AA113">
        <v>12553041.036323847</v>
      </c>
      <c r="AB113" s="9" t="s">
        <v>1850</v>
      </c>
      <c r="AC113" s="9" t="s">
        <v>1838</v>
      </c>
    </row>
    <row r="114" spans="1:29">
      <c r="A114" s="9" t="s">
        <v>497</v>
      </c>
      <c r="B114" s="9" t="s">
        <v>150</v>
      </c>
      <c r="C114" s="9" t="s">
        <v>151</v>
      </c>
      <c r="D114" s="9" t="s">
        <v>97</v>
      </c>
      <c r="E114">
        <v>2021</v>
      </c>
      <c r="F114">
        <v>1830308</v>
      </c>
      <c r="G114">
        <v>2.0299999999999999E-2</v>
      </c>
      <c r="H114">
        <v>37305.25</v>
      </c>
      <c r="I114" s="9" t="s">
        <v>498</v>
      </c>
      <c r="J114" s="9" t="s">
        <v>499</v>
      </c>
      <c r="K114" s="9" t="s">
        <v>500</v>
      </c>
      <c r="L114">
        <v>2086781</v>
      </c>
      <c r="M114" s="8">
        <v>44739</v>
      </c>
      <c r="N114" s="9" t="s">
        <v>151</v>
      </c>
      <c r="O114">
        <v>2.0299999999999999E-2</v>
      </c>
      <c r="P114">
        <v>1</v>
      </c>
      <c r="Q114" s="9" t="s">
        <v>1821</v>
      </c>
      <c r="R114" s="9" t="s">
        <v>1838</v>
      </c>
      <c r="S114" s="9" t="s">
        <v>1839</v>
      </c>
      <c r="T114" s="9" t="s">
        <v>1845</v>
      </c>
      <c r="U114" s="9" t="s">
        <v>1840</v>
      </c>
      <c r="V114" s="9" t="s">
        <v>1838</v>
      </c>
      <c r="W114" s="9" t="s">
        <v>1838</v>
      </c>
      <c r="X114" s="9" t="s">
        <v>1838</v>
      </c>
      <c r="Y114" s="9" t="s">
        <v>1841</v>
      </c>
      <c r="Z114">
        <v>4842179.1619999995</v>
      </c>
      <c r="AA114">
        <v>12553041.036323847</v>
      </c>
      <c r="AB114" s="9" t="s">
        <v>1850</v>
      </c>
      <c r="AC114" s="9" t="s">
        <v>1843</v>
      </c>
    </row>
    <row r="115" spans="1:29">
      <c r="A115" s="9" t="s">
        <v>501</v>
      </c>
      <c r="B115" s="9" t="s">
        <v>49</v>
      </c>
      <c r="C115" s="9" t="s">
        <v>84</v>
      </c>
      <c r="D115" s="9" t="s">
        <v>71</v>
      </c>
      <c r="E115">
        <v>2023</v>
      </c>
      <c r="F115">
        <v>5782221</v>
      </c>
      <c r="G115">
        <v>1.8100000000000002E-2</v>
      </c>
      <c r="H115">
        <v>104658.2</v>
      </c>
      <c r="I115" s="9" t="s">
        <v>502</v>
      </c>
      <c r="J115" s="9" t="s">
        <v>503</v>
      </c>
      <c r="K115" s="9" t="s">
        <v>504</v>
      </c>
      <c r="L115">
        <v>6108117</v>
      </c>
      <c r="M115" s="8">
        <v>45272</v>
      </c>
      <c r="N115" s="9" t="s">
        <v>50</v>
      </c>
      <c r="O115">
        <v>1.8100000000000002E-2</v>
      </c>
      <c r="P115">
        <v>1</v>
      </c>
      <c r="Q115" s="9" t="s">
        <v>1822</v>
      </c>
      <c r="R115" s="9" t="s">
        <v>1838</v>
      </c>
      <c r="S115" s="9" t="s">
        <v>1845</v>
      </c>
      <c r="T115" s="9" t="s">
        <v>1838</v>
      </c>
      <c r="U115" s="9" t="s">
        <v>1840</v>
      </c>
      <c r="V115" s="9" t="s">
        <v>1838</v>
      </c>
      <c r="W115" s="9" t="s">
        <v>1838</v>
      </c>
      <c r="X115" s="9" t="s">
        <v>1838</v>
      </c>
      <c r="Y115" s="9" t="s">
        <v>1841</v>
      </c>
      <c r="Z115">
        <v>4842179.1619999995</v>
      </c>
      <c r="AA115">
        <v>12553041.036323847</v>
      </c>
      <c r="AB115" s="9" t="s">
        <v>1850</v>
      </c>
      <c r="AC115" s="9" t="s">
        <v>1843</v>
      </c>
    </row>
    <row r="116" spans="1:29">
      <c r="A116" s="9" t="s">
        <v>505</v>
      </c>
      <c r="B116" s="9" t="s">
        <v>150</v>
      </c>
      <c r="C116" s="9" t="s">
        <v>151</v>
      </c>
      <c r="D116" s="9" t="s">
        <v>51</v>
      </c>
      <c r="E116">
        <v>2021</v>
      </c>
      <c r="F116">
        <v>425724</v>
      </c>
      <c r="G116">
        <v>1.23E-2</v>
      </c>
      <c r="H116">
        <v>5236.41</v>
      </c>
      <c r="I116" s="9" t="s">
        <v>506</v>
      </c>
      <c r="J116" s="9" t="s">
        <v>507</v>
      </c>
      <c r="K116" s="9" t="s">
        <v>508</v>
      </c>
      <c r="L116">
        <v>517089</v>
      </c>
      <c r="M116" s="8">
        <v>45290</v>
      </c>
      <c r="N116" s="9" t="s">
        <v>151</v>
      </c>
      <c r="O116">
        <v>1.23E-2</v>
      </c>
      <c r="P116">
        <v>1</v>
      </c>
      <c r="Q116" s="9" t="s">
        <v>1820</v>
      </c>
      <c r="R116" s="9" t="s">
        <v>1838</v>
      </c>
      <c r="S116" s="9" t="s">
        <v>1839</v>
      </c>
      <c r="T116" s="9" t="s">
        <v>1838</v>
      </c>
      <c r="U116" s="9" t="s">
        <v>1840</v>
      </c>
      <c r="V116" s="9" t="s">
        <v>1838</v>
      </c>
      <c r="W116" s="9" t="s">
        <v>1838</v>
      </c>
      <c r="X116" s="9" t="s">
        <v>1838</v>
      </c>
      <c r="Y116" s="9" t="s">
        <v>1841</v>
      </c>
      <c r="Z116">
        <v>4842179.1619999995</v>
      </c>
      <c r="AA116">
        <v>12553041.036323847</v>
      </c>
      <c r="AB116" s="9" t="s">
        <v>1850</v>
      </c>
      <c r="AC116" s="9" t="s">
        <v>1838</v>
      </c>
    </row>
    <row r="117" spans="1:29">
      <c r="A117" s="9" t="s">
        <v>509</v>
      </c>
      <c r="B117" s="9" t="s">
        <v>63</v>
      </c>
      <c r="C117" s="9" t="s">
        <v>64</v>
      </c>
      <c r="D117" s="9" t="s">
        <v>58</v>
      </c>
      <c r="E117">
        <v>2022</v>
      </c>
      <c r="F117">
        <v>1767816</v>
      </c>
      <c r="G117">
        <v>9.4999999999999998E-3</v>
      </c>
      <c r="H117">
        <v>16794.25</v>
      </c>
      <c r="I117" s="9" t="s">
        <v>510</v>
      </c>
      <c r="J117" s="9" t="s">
        <v>511</v>
      </c>
      <c r="K117" s="9" t="s">
        <v>512</v>
      </c>
      <c r="L117">
        <v>1804207</v>
      </c>
      <c r="M117" s="8">
        <v>43727</v>
      </c>
      <c r="N117" s="9" t="s">
        <v>64</v>
      </c>
      <c r="O117">
        <v>9.4999999999999998E-3</v>
      </c>
      <c r="P117">
        <v>1</v>
      </c>
      <c r="Q117" s="9" t="s">
        <v>1823</v>
      </c>
      <c r="R117" s="9" t="s">
        <v>1838</v>
      </c>
      <c r="S117" s="9" t="s">
        <v>1839</v>
      </c>
      <c r="T117" s="9" t="s">
        <v>1838</v>
      </c>
      <c r="U117" s="9" t="s">
        <v>1840</v>
      </c>
      <c r="V117" s="9" t="s">
        <v>1838</v>
      </c>
      <c r="W117" s="9" t="s">
        <v>1838</v>
      </c>
      <c r="X117" s="9" t="s">
        <v>1838</v>
      </c>
      <c r="Y117" s="9" t="s">
        <v>1841</v>
      </c>
      <c r="Z117">
        <v>4842179.1619999995</v>
      </c>
      <c r="AA117">
        <v>12553041.036323847</v>
      </c>
      <c r="AB117" s="9" t="s">
        <v>1850</v>
      </c>
      <c r="AC117" s="9" t="s">
        <v>1838</v>
      </c>
    </row>
    <row r="118" spans="1:29">
      <c r="A118" s="9" t="s">
        <v>513</v>
      </c>
      <c r="B118" s="9" t="s">
        <v>56</v>
      </c>
      <c r="C118" s="9" t="s">
        <v>84</v>
      </c>
      <c r="D118" s="9" t="s">
        <v>51</v>
      </c>
      <c r="E118">
        <v>2021</v>
      </c>
      <c r="F118">
        <v>1378636</v>
      </c>
      <c r="G118">
        <v>1.24E-2</v>
      </c>
      <c r="H118">
        <v>17095.09</v>
      </c>
      <c r="I118" s="9" t="s">
        <v>514</v>
      </c>
      <c r="J118" s="9" t="s">
        <v>515</v>
      </c>
      <c r="K118" s="9" t="s">
        <v>162</v>
      </c>
      <c r="L118">
        <v>1556117</v>
      </c>
      <c r="M118" s="8">
        <v>44890</v>
      </c>
      <c r="N118" s="9" t="s">
        <v>57</v>
      </c>
      <c r="O118">
        <v>1.24E-2</v>
      </c>
      <c r="P118">
        <v>1</v>
      </c>
      <c r="Q118" s="9" t="s">
        <v>1820</v>
      </c>
      <c r="R118" s="9" t="s">
        <v>1838</v>
      </c>
      <c r="S118" s="9" t="s">
        <v>1845</v>
      </c>
      <c r="T118" s="9" t="s">
        <v>1838</v>
      </c>
      <c r="U118" s="9" t="s">
        <v>1840</v>
      </c>
      <c r="V118" s="9" t="s">
        <v>1838</v>
      </c>
      <c r="W118" s="9" t="s">
        <v>1838</v>
      </c>
      <c r="X118" s="9" t="s">
        <v>1838</v>
      </c>
      <c r="Y118" s="9" t="s">
        <v>1841</v>
      </c>
      <c r="Z118">
        <v>4842179.1619999995</v>
      </c>
      <c r="AA118">
        <v>12553041.036323847</v>
      </c>
      <c r="AB118" s="9" t="s">
        <v>1850</v>
      </c>
      <c r="AC118" s="9" t="s">
        <v>1843</v>
      </c>
    </row>
    <row r="119" spans="1:29">
      <c r="A119" s="9" t="s">
        <v>516</v>
      </c>
      <c r="B119" s="9" t="s">
        <v>49</v>
      </c>
      <c r="C119" s="9" t="s">
        <v>50</v>
      </c>
      <c r="D119" s="9" t="s">
        <v>97</v>
      </c>
      <c r="E119">
        <v>2024</v>
      </c>
      <c r="F119">
        <v>2671093</v>
      </c>
      <c r="G119">
        <v>2.01E-2</v>
      </c>
      <c r="H119">
        <v>53688.97</v>
      </c>
      <c r="I119" s="9" t="s">
        <v>517</v>
      </c>
      <c r="J119" s="9" t="s">
        <v>518</v>
      </c>
      <c r="K119" s="9" t="s">
        <v>519</v>
      </c>
      <c r="L119">
        <v>2661684</v>
      </c>
      <c r="M119" s="8">
        <v>45681</v>
      </c>
      <c r="N119" s="9" t="s">
        <v>50</v>
      </c>
      <c r="O119">
        <v>2.01E-2</v>
      </c>
      <c r="P119">
        <v>1</v>
      </c>
      <c r="Q119" s="9" t="s">
        <v>1821</v>
      </c>
      <c r="R119" s="9" t="s">
        <v>1838</v>
      </c>
      <c r="S119" s="9" t="s">
        <v>1839</v>
      </c>
      <c r="T119" s="9" t="s">
        <v>1838</v>
      </c>
      <c r="U119" s="9" t="s">
        <v>1840</v>
      </c>
      <c r="V119" s="9" t="s">
        <v>1838</v>
      </c>
      <c r="W119" s="9" t="s">
        <v>1838</v>
      </c>
      <c r="X119" s="9" t="s">
        <v>1838</v>
      </c>
      <c r="Y119" s="9" t="s">
        <v>1841</v>
      </c>
      <c r="Z119">
        <v>4842179.1619999995</v>
      </c>
      <c r="AA119">
        <v>12553041.036323847</v>
      </c>
      <c r="AB119" s="9" t="s">
        <v>1850</v>
      </c>
      <c r="AC119" s="9" t="s">
        <v>1838</v>
      </c>
    </row>
    <row r="120" spans="1:29">
      <c r="A120" s="9" t="s">
        <v>520</v>
      </c>
      <c r="B120" s="9" t="s">
        <v>49</v>
      </c>
      <c r="C120" s="9" t="s">
        <v>50</v>
      </c>
      <c r="D120" s="9" t="s">
        <v>51</v>
      </c>
      <c r="E120">
        <v>2024</v>
      </c>
      <c r="F120">
        <v>860356</v>
      </c>
      <c r="G120">
        <v>1.21E-2</v>
      </c>
      <c r="H120">
        <v>10410.31</v>
      </c>
      <c r="I120" s="9" t="s">
        <v>521</v>
      </c>
      <c r="J120" s="9" t="s">
        <v>522</v>
      </c>
      <c r="K120" s="9" t="s">
        <v>523</v>
      </c>
      <c r="L120">
        <v>926056</v>
      </c>
      <c r="M120" s="8">
        <v>44789</v>
      </c>
      <c r="N120" s="9" t="s">
        <v>50</v>
      </c>
      <c r="O120">
        <v>1.21E-2</v>
      </c>
      <c r="P120">
        <v>1</v>
      </c>
      <c r="Q120" s="9" t="s">
        <v>1820</v>
      </c>
      <c r="R120" s="9" t="s">
        <v>1838</v>
      </c>
      <c r="S120" s="9" t="s">
        <v>1839</v>
      </c>
      <c r="T120" s="9" t="s">
        <v>1838</v>
      </c>
      <c r="U120" s="9" t="s">
        <v>1840</v>
      </c>
      <c r="V120" s="9" t="s">
        <v>1838</v>
      </c>
      <c r="W120" s="9" t="s">
        <v>1838</v>
      </c>
      <c r="X120" s="9" t="s">
        <v>1838</v>
      </c>
      <c r="Y120" s="9" t="s">
        <v>1841</v>
      </c>
      <c r="Z120">
        <v>4842179.1619999995</v>
      </c>
      <c r="AA120">
        <v>12553041.036323847</v>
      </c>
      <c r="AB120" s="9" t="s">
        <v>1850</v>
      </c>
      <c r="AC120" s="9" t="s">
        <v>1838</v>
      </c>
    </row>
    <row r="121" spans="1:29">
      <c r="A121" s="9" t="s">
        <v>524</v>
      </c>
      <c r="B121" s="9" t="s">
        <v>76</v>
      </c>
      <c r="C121" s="9" t="s">
        <v>77</v>
      </c>
      <c r="D121" s="9" t="s">
        <v>82</v>
      </c>
      <c r="E121">
        <v>2023</v>
      </c>
      <c r="F121">
        <v>7956412</v>
      </c>
      <c r="G121">
        <v>1.47E-2</v>
      </c>
      <c r="H121">
        <v>116959.26</v>
      </c>
      <c r="I121" s="9" t="s">
        <v>525</v>
      </c>
      <c r="J121" s="9" t="s">
        <v>526</v>
      </c>
      <c r="K121" s="9" t="s">
        <v>166</v>
      </c>
      <c r="L121">
        <v>9050916</v>
      </c>
      <c r="M121" s="8">
        <v>44969</v>
      </c>
      <c r="N121" s="9" t="s">
        <v>77</v>
      </c>
      <c r="O121">
        <v>1.47E-2</v>
      </c>
      <c r="P121">
        <v>1</v>
      </c>
      <c r="Q121" s="9" t="s">
        <v>1824</v>
      </c>
      <c r="R121" s="9" t="s">
        <v>1838</v>
      </c>
      <c r="S121" s="9" t="s">
        <v>1839</v>
      </c>
      <c r="T121" s="9" t="s">
        <v>1838</v>
      </c>
      <c r="U121" s="9" t="s">
        <v>1840</v>
      </c>
      <c r="V121" s="9" t="s">
        <v>1838</v>
      </c>
      <c r="W121" s="9" t="s">
        <v>1838</v>
      </c>
      <c r="X121" s="9" t="s">
        <v>1838</v>
      </c>
      <c r="Y121" s="9" t="s">
        <v>1841</v>
      </c>
      <c r="Z121">
        <v>4842179.1619999995</v>
      </c>
      <c r="AA121">
        <v>12553041.036323847</v>
      </c>
      <c r="AB121" s="9" t="s">
        <v>1850</v>
      </c>
      <c r="AC121" s="9" t="s">
        <v>1838</v>
      </c>
    </row>
    <row r="122" spans="1:29">
      <c r="A122" s="9" t="s">
        <v>527</v>
      </c>
      <c r="B122" s="9" t="s">
        <v>101</v>
      </c>
      <c r="C122" s="9" t="s">
        <v>102</v>
      </c>
      <c r="D122" s="9" t="s">
        <v>51</v>
      </c>
      <c r="E122">
        <v>2023</v>
      </c>
      <c r="F122">
        <v>1250873</v>
      </c>
      <c r="G122">
        <v>1.29E-2</v>
      </c>
      <c r="H122">
        <v>16136.26</v>
      </c>
      <c r="I122" s="9" t="s">
        <v>528</v>
      </c>
      <c r="J122" s="9" t="s">
        <v>529</v>
      </c>
      <c r="K122" s="9" t="s">
        <v>105</v>
      </c>
      <c r="L122">
        <v>1501222</v>
      </c>
      <c r="M122" s="8">
        <v>44126</v>
      </c>
      <c r="N122" s="9" t="s">
        <v>102</v>
      </c>
      <c r="O122">
        <v>1.29E-2</v>
      </c>
      <c r="P122">
        <v>1</v>
      </c>
      <c r="Q122" s="9" t="s">
        <v>1820</v>
      </c>
      <c r="R122" s="9" t="s">
        <v>1838</v>
      </c>
      <c r="S122" s="9" t="s">
        <v>1839</v>
      </c>
      <c r="T122" s="9" t="s">
        <v>1838</v>
      </c>
      <c r="U122" s="9" t="s">
        <v>1840</v>
      </c>
      <c r="V122" s="9" t="s">
        <v>1838</v>
      </c>
      <c r="W122" s="9" t="s">
        <v>1838</v>
      </c>
      <c r="X122" s="9" t="s">
        <v>1838</v>
      </c>
      <c r="Y122" s="9" t="s">
        <v>1841</v>
      </c>
      <c r="Z122">
        <v>4842179.1619999995</v>
      </c>
      <c r="AA122">
        <v>12553041.036323847</v>
      </c>
      <c r="AB122" s="9" t="s">
        <v>1850</v>
      </c>
      <c r="AC122" s="9" t="s">
        <v>1838</v>
      </c>
    </row>
    <row r="123" spans="1:29">
      <c r="A123" s="9" t="s">
        <v>530</v>
      </c>
      <c r="B123" s="9" t="s">
        <v>101</v>
      </c>
      <c r="C123" s="9" t="s">
        <v>102</v>
      </c>
      <c r="D123" s="9" t="s">
        <v>51</v>
      </c>
      <c r="E123">
        <v>2024</v>
      </c>
      <c r="F123">
        <v>1314994</v>
      </c>
      <c r="G123">
        <v>1.29E-2</v>
      </c>
      <c r="H123">
        <v>16963.419999999998</v>
      </c>
      <c r="I123" s="9" t="s">
        <v>531</v>
      </c>
      <c r="J123" s="9" t="s">
        <v>532</v>
      </c>
      <c r="K123" s="9" t="s">
        <v>533</v>
      </c>
      <c r="L123">
        <v>1461931</v>
      </c>
      <c r="M123" s="8">
        <v>44277</v>
      </c>
      <c r="N123" s="9" t="s">
        <v>102</v>
      </c>
      <c r="O123">
        <v>1.29E-2</v>
      </c>
      <c r="P123">
        <v>2</v>
      </c>
      <c r="Q123" s="9" t="s">
        <v>1820</v>
      </c>
      <c r="R123" s="9" t="s">
        <v>1838</v>
      </c>
      <c r="S123" s="9" t="s">
        <v>1839</v>
      </c>
      <c r="T123" s="9" t="s">
        <v>1838</v>
      </c>
      <c r="U123" s="9" t="s">
        <v>1844</v>
      </c>
      <c r="V123" s="9" t="s">
        <v>1838</v>
      </c>
      <c r="W123" s="9" t="s">
        <v>1838</v>
      </c>
      <c r="X123" s="9" t="s">
        <v>1838</v>
      </c>
      <c r="Y123" s="9" t="s">
        <v>1841</v>
      </c>
      <c r="Z123">
        <v>4842179.1619999995</v>
      </c>
      <c r="AA123">
        <v>12553041.036323847</v>
      </c>
      <c r="AB123" s="9" t="s">
        <v>1850</v>
      </c>
      <c r="AC123" s="9" t="s">
        <v>1843</v>
      </c>
    </row>
    <row r="124" spans="1:29">
      <c r="A124" s="9" t="s">
        <v>530</v>
      </c>
      <c r="B124" s="9" t="s">
        <v>69</v>
      </c>
      <c r="C124" s="9" t="s">
        <v>70</v>
      </c>
      <c r="D124" s="9" t="s">
        <v>71</v>
      </c>
      <c r="E124">
        <v>2022</v>
      </c>
      <c r="F124">
        <v>7484660</v>
      </c>
      <c r="G124">
        <v>1.8599999999999998E-2</v>
      </c>
      <c r="H124">
        <v>139214.68</v>
      </c>
      <c r="I124" s="9" t="s">
        <v>1017</v>
      </c>
      <c r="J124" s="9" t="s">
        <v>1018</v>
      </c>
      <c r="K124" s="9" t="s">
        <v>1019</v>
      </c>
      <c r="L124">
        <v>8374310</v>
      </c>
      <c r="M124" s="8">
        <v>45582</v>
      </c>
      <c r="N124" s="9" t="s">
        <v>70</v>
      </c>
      <c r="O124">
        <v>1.8599999999999998E-2</v>
      </c>
      <c r="P124">
        <v>2</v>
      </c>
      <c r="Q124" s="9" t="s">
        <v>1822</v>
      </c>
      <c r="R124" s="9" t="s">
        <v>1838</v>
      </c>
      <c r="S124" s="9" t="s">
        <v>1839</v>
      </c>
      <c r="T124" s="9" t="s">
        <v>1838</v>
      </c>
      <c r="U124" s="9" t="s">
        <v>1844</v>
      </c>
      <c r="V124" s="9" t="s">
        <v>1838</v>
      </c>
      <c r="W124" s="9" t="s">
        <v>1838</v>
      </c>
      <c r="X124" s="9" t="s">
        <v>1838</v>
      </c>
      <c r="Y124" s="9" t="s">
        <v>1841</v>
      </c>
      <c r="Z124">
        <v>4842179.1619999995</v>
      </c>
      <c r="AA124">
        <v>12553041.036323847</v>
      </c>
      <c r="AB124" s="9" t="s">
        <v>1850</v>
      </c>
      <c r="AC124" s="9" t="s">
        <v>1843</v>
      </c>
    </row>
    <row r="125" spans="1:29">
      <c r="A125" s="9" t="s">
        <v>534</v>
      </c>
      <c r="B125" s="9" t="s">
        <v>49</v>
      </c>
      <c r="C125" s="9" t="s">
        <v>50</v>
      </c>
      <c r="D125" s="9" t="s">
        <v>535</v>
      </c>
      <c r="E125">
        <v>2022</v>
      </c>
      <c r="F125">
        <v>2500765</v>
      </c>
      <c r="G125">
        <v>2.01E-2</v>
      </c>
      <c r="H125">
        <v>50265.38</v>
      </c>
      <c r="I125" s="9" t="s">
        <v>536</v>
      </c>
      <c r="J125" s="9" t="s">
        <v>537</v>
      </c>
      <c r="K125" s="9" t="s">
        <v>412</v>
      </c>
      <c r="L125">
        <v>2929471</v>
      </c>
      <c r="M125" s="8">
        <v>45025</v>
      </c>
      <c r="N125" s="9" t="s">
        <v>50</v>
      </c>
      <c r="P125">
        <v>1</v>
      </c>
      <c r="Q125" s="9"/>
      <c r="R125" s="9" t="s">
        <v>1838</v>
      </c>
      <c r="S125" s="9" t="s">
        <v>1839</v>
      </c>
      <c r="T125" s="9" t="s">
        <v>1845</v>
      </c>
      <c r="U125" s="9" t="s">
        <v>1840</v>
      </c>
      <c r="V125" s="9" t="s">
        <v>1838</v>
      </c>
      <c r="W125" s="9" t="s">
        <v>1842</v>
      </c>
      <c r="X125" s="9" t="s">
        <v>1838</v>
      </c>
      <c r="Y125" s="9" t="s">
        <v>1841</v>
      </c>
      <c r="Z125">
        <v>4842179.1619999995</v>
      </c>
      <c r="AA125">
        <v>12553041.036323847</v>
      </c>
      <c r="AB125" s="9" t="s">
        <v>1850</v>
      </c>
      <c r="AC125" s="9" t="s">
        <v>1843</v>
      </c>
    </row>
    <row r="126" spans="1:29">
      <c r="A126" s="9" t="s">
        <v>538</v>
      </c>
      <c r="B126" s="9" t="s">
        <v>101</v>
      </c>
      <c r="C126" s="9" t="s">
        <v>102</v>
      </c>
      <c r="D126" s="9" t="s">
        <v>82</v>
      </c>
      <c r="E126">
        <v>2023</v>
      </c>
      <c r="F126">
        <v>5150593</v>
      </c>
      <c r="G126">
        <v>1.52E-2</v>
      </c>
      <c r="H126">
        <v>78289.009999999995</v>
      </c>
      <c r="I126" s="9" t="s">
        <v>539</v>
      </c>
      <c r="J126" s="9" t="s">
        <v>540</v>
      </c>
      <c r="K126" s="9" t="s">
        <v>396</v>
      </c>
      <c r="L126">
        <v>4898590</v>
      </c>
      <c r="M126" s="8">
        <v>44365</v>
      </c>
      <c r="N126" s="9" t="s">
        <v>102</v>
      </c>
      <c r="O126">
        <v>1.52E-2</v>
      </c>
      <c r="P126">
        <v>1</v>
      </c>
      <c r="Q126" s="9" t="s">
        <v>1824</v>
      </c>
      <c r="R126" s="9" t="s">
        <v>1838</v>
      </c>
      <c r="S126" s="9" t="s">
        <v>1839</v>
      </c>
      <c r="T126" s="9" t="s">
        <v>1838</v>
      </c>
      <c r="U126" s="9" t="s">
        <v>1840</v>
      </c>
      <c r="V126" s="9" t="s">
        <v>1838</v>
      </c>
      <c r="W126" s="9" t="s">
        <v>1838</v>
      </c>
      <c r="X126" s="9" t="s">
        <v>1838</v>
      </c>
      <c r="Y126" s="9" t="s">
        <v>1841</v>
      </c>
      <c r="Z126">
        <v>4842179.1619999995</v>
      </c>
      <c r="AA126">
        <v>12553041.036323847</v>
      </c>
      <c r="AB126" s="9" t="s">
        <v>1850</v>
      </c>
      <c r="AC126" s="9" t="s">
        <v>1838</v>
      </c>
    </row>
    <row r="127" spans="1:29">
      <c r="A127" s="9" t="s">
        <v>541</v>
      </c>
      <c r="B127" s="9" t="s">
        <v>56</v>
      </c>
      <c r="C127" s="9" t="s">
        <v>57</v>
      </c>
      <c r="D127" s="9" t="s">
        <v>82</v>
      </c>
      <c r="E127">
        <v>2024</v>
      </c>
      <c r="F127">
        <v>85874072</v>
      </c>
      <c r="G127">
        <v>1.47E-2</v>
      </c>
      <c r="H127">
        <v>1262348.8600000001</v>
      </c>
      <c r="I127" s="9" t="s">
        <v>542</v>
      </c>
      <c r="J127" s="9" t="s">
        <v>543</v>
      </c>
      <c r="K127" s="9" t="s">
        <v>80</v>
      </c>
      <c r="L127">
        <v>5336452</v>
      </c>
      <c r="M127" s="8">
        <v>45697</v>
      </c>
      <c r="N127" s="9" t="s">
        <v>57</v>
      </c>
      <c r="O127">
        <v>1.47E-2</v>
      </c>
      <c r="P127">
        <v>1</v>
      </c>
      <c r="Q127" s="9" t="s">
        <v>1824</v>
      </c>
      <c r="R127" s="9" t="s">
        <v>1838</v>
      </c>
      <c r="S127" s="9" t="s">
        <v>1839</v>
      </c>
      <c r="T127" s="9" t="s">
        <v>1838</v>
      </c>
      <c r="U127" s="9" t="s">
        <v>1840</v>
      </c>
      <c r="V127" s="9" t="s">
        <v>1838</v>
      </c>
      <c r="W127" s="9" t="s">
        <v>1838</v>
      </c>
      <c r="X127" s="9" t="s">
        <v>1838</v>
      </c>
      <c r="Y127" s="9" t="s">
        <v>1841</v>
      </c>
      <c r="Z127">
        <v>4842179.1619999995</v>
      </c>
      <c r="AA127">
        <v>12553041.036323847</v>
      </c>
      <c r="AB127" s="9" t="s">
        <v>1851</v>
      </c>
      <c r="AC127" s="9" t="s">
        <v>1843</v>
      </c>
    </row>
    <row r="128" spans="1:29">
      <c r="A128" s="9" t="s">
        <v>544</v>
      </c>
      <c r="B128" s="9" t="s">
        <v>150</v>
      </c>
      <c r="C128" s="9" t="s">
        <v>151</v>
      </c>
      <c r="D128" s="9" t="s">
        <v>97</v>
      </c>
      <c r="E128">
        <v>2022</v>
      </c>
      <c r="F128">
        <v>3435195</v>
      </c>
      <c r="G128">
        <v>2.0299999999999999E-2</v>
      </c>
      <c r="H128">
        <v>69734.460000000006</v>
      </c>
      <c r="I128" s="9" t="s">
        <v>545</v>
      </c>
      <c r="J128" s="9" t="s">
        <v>546</v>
      </c>
      <c r="K128" s="9" t="s">
        <v>547</v>
      </c>
      <c r="L128">
        <v>3941918</v>
      </c>
      <c r="M128" s="8">
        <v>43503</v>
      </c>
      <c r="N128" s="9" t="s">
        <v>151</v>
      </c>
      <c r="O128">
        <v>2.0299999999999999E-2</v>
      </c>
      <c r="P128">
        <v>2</v>
      </c>
      <c r="Q128" s="9" t="s">
        <v>1821</v>
      </c>
      <c r="R128" s="9" t="s">
        <v>1838</v>
      </c>
      <c r="S128" s="9" t="s">
        <v>1839</v>
      </c>
      <c r="T128" s="9" t="s">
        <v>1838</v>
      </c>
      <c r="U128" s="9" t="s">
        <v>1844</v>
      </c>
      <c r="V128" s="9" t="s">
        <v>1838</v>
      </c>
      <c r="W128" s="9" t="s">
        <v>1838</v>
      </c>
      <c r="X128" s="9" t="s">
        <v>1838</v>
      </c>
      <c r="Y128" s="9" t="s">
        <v>1841</v>
      </c>
      <c r="Z128">
        <v>4842179.1619999995</v>
      </c>
      <c r="AA128">
        <v>12553041.036323847</v>
      </c>
      <c r="AB128" s="9" t="s">
        <v>1850</v>
      </c>
      <c r="AC128" s="9" t="s">
        <v>1843</v>
      </c>
    </row>
    <row r="129" spans="1:29">
      <c r="A129" s="9" t="s">
        <v>544</v>
      </c>
      <c r="B129" s="9" t="s">
        <v>76</v>
      </c>
      <c r="C129" s="9" t="s">
        <v>77</v>
      </c>
      <c r="D129" s="9" t="s">
        <v>58</v>
      </c>
      <c r="E129">
        <v>2023</v>
      </c>
      <c r="F129">
        <v>2275024</v>
      </c>
      <c r="G129">
        <v>9.4000000000000004E-3</v>
      </c>
      <c r="H129">
        <v>21385.23</v>
      </c>
      <c r="I129" s="9" t="s">
        <v>781</v>
      </c>
      <c r="J129" s="9" t="s">
        <v>782</v>
      </c>
      <c r="K129" s="9" t="s">
        <v>783</v>
      </c>
      <c r="L129">
        <v>2306415</v>
      </c>
      <c r="M129" s="8">
        <v>44398</v>
      </c>
      <c r="N129" s="9" t="s">
        <v>77</v>
      </c>
      <c r="O129">
        <v>9.4000000000000004E-3</v>
      </c>
      <c r="P129">
        <v>2</v>
      </c>
      <c r="Q129" s="9" t="s">
        <v>1823</v>
      </c>
      <c r="R129" s="9" t="s">
        <v>1838</v>
      </c>
      <c r="S129" s="9" t="s">
        <v>1839</v>
      </c>
      <c r="T129" s="9" t="s">
        <v>1838</v>
      </c>
      <c r="U129" s="9" t="s">
        <v>1844</v>
      </c>
      <c r="V129" s="9" t="s">
        <v>1838</v>
      </c>
      <c r="W129" s="9" t="s">
        <v>1838</v>
      </c>
      <c r="X129" s="9" t="s">
        <v>1838</v>
      </c>
      <c r="Y129" s="9" t="s">
        <v>1841</v>
      </c>
      <c r="Z129">
        <v>4842179.1619999995</v>
      </c>
      <c r="AA129">
        <v>12553041.036323847</v>
      </c>
      <c r="AB129" s="9" t="s">
        <v>1850</v>
      </c>
      <c r="AC129" s="9" t="s">
        <v>1843</v>
      </c>
    </row>
    <row r="130" spans="1:29">
      <c r="A130" s="9" t="s">
        <v>548</v>
      </c>
      <c r="B130" s="9" t="s">
        <v>76</v>
      </c>
      <c r="C130" s="9" t="s">
        <v>77</v>
      </c>
      <c r="D130" s="9" t="s">
        <v>82</v>
      </c>
      <c r="E130">
        <v>2024</v>
      </c>
      <c r="F130">
        <v>5767173</v>
      </c>
      <c r="G130">
        <v>1.47E-2</v>
      </c>
      <c r="H130">
        <v>84777.44</v>
      </c>
      <c r="I130" s="9" t="s">
        <v>549</v>
      </c>
      <c r="J130" s="9" t="s">
        <v>550</v>
      </c>
      <c r="K130" s="9" t="s">
        <v>91</v>
      </c>
      <c r="L130">
        <v>7163508</v>
      </c>
      <c r="M130" s="8">
        <v>44232</v>
      </c>
      <c r="N130" s="9" t="s">
        <v>77</v>
      </c>
      <c r="O130">
        <v>1.47E-2</v>
      </c>
      <c r="P130">
        <v>1</v>
      </c>
      <c r="Q130" s="9" t="s">
        <v>1824</v>
      </c>
      <c r="R130" s="9" t="s">
        <v>1838</v>
      </c>
      <c r="S130" s="9" t="s">
        <v>1839</v>
      </c>
      <c r="T130" s="9" t="s">
        <v>1838</v>
      </c>
      <c r="U130" s="9" t="s">
        <v>1840</v>
      </c>
      <c r="V130" s="9" t="s">
        <v>1842</v>
      </c>
      <c r="W130" s="9" t="s">
        <v>1838</v>
      </c>
      <c r="X130" s="9" t="s">
        <v>1838</v>
      </c>
      <c r="Y130" s="9" t="s">
        <v>1841</v>
      </c>
      <c r="Z130">
        <v>4842179.1619999995</v>
      </c>
      <c r="AA130">
        <v>12553041.036323847</v>
      </c>
      <c r="AB130" s="9" t="s">
        <v>1850</v>
      </c>
      <c r="AC130" s="9" t="s">
        <v>1843</v>
      </c>
    </row>
    <row r="131" spans="1:29">
      <c r="A131" s="9" t="s">
        <v>551</v>
      </c>
      <c r="B131" s="9" t="s">
        <v>56</v>
      </c>
      <c r="C131" s="9" t="s">
        <v>57</v>
      </c>
      <c r="D131" s="9" t="s">
        <v>58</v>
      </c>
      <c r="E131">
        <v>2022</v>
      </c>
      <c r="F131">
        <v>776640</v>
      </c>
      <c r="G131">
        <v>9.4000000000000004E-3</v>
      </c>
      <c r="H131">
        <v>7300.42</v>
      </c>
      <c r="I131" s="9" t="s">
        <v>552</v>
      </c>
      <c r="J131" s="9" t="s">
        <v>553</v>
      </c>
      <c r="K131" s="9" t="s">
        <v>84</v>
      </c>
      <c r="L131">
        <v>760369</v>
      </c>
      <c r="M131" s="8">
        <v>43796</v>
      </c>
      <c r="N131" s="9" t="s">
        <v>57</v>
      </c>
      <c r="O131">
        <v>9.4000000000000004E-3</v>
      </c>
      <c r="P131">
        <v>1</v>
      </c>
      <c r="Q131" s="9" t="s">
        <v>1823</v>
      </c>
      <c r="R131" s="9" t="s">
        <v>1838</v>
      </c>
      <c r="S131" s="9" t="s">
        <v>1839</v>
      </c>
      <c r="T131" s="9" t="s">
        <v>1838</v>
      </c>
      <c r="U131" s="9" t="s">
        <v>1840</v>
      </c>
      <c r="V131" s="9" t="s">
        <v>1838</v>
      </c>
      <c r="W131" s="9" t="s">
        <v>1838</v>
      </c>
      <c r="X131" s="9" t="s">
        <v>1838</v>
      </c>
      <c r="Y131" s="9" t="s">
        <v>1841</v>
      </c>
      <c r="Z131">
        <v>4842179.1619999995</v>
      </c>
      <c r="AA131">
        <v>12553041.036323847</v>
      </c>
      <c r="AB131" s="9" t="s">
        <v>1850</v>
      </c>
      <c r="AC131" s="9" t="s">
        <v>1838</v>
      </c>
    </row>
    <row r="132" spans="1:29">
      <c r="A132" s="9" t="s">
        <v>554</v>
      </c>
      <c r="B132" s="9" t="s">
        <v>63</v>
      </c>
      <c r="C132" s="9" t="s">
        <v>64</v>
      </c>
      <c r="D132" s="9" t="s">
        <v>51</v>
      </c>
      <c r="E132">
        <v>2024</v>
      </c>
      <c r="F132">
        <v>687884</v>
      </c>
      <c r="G132">
        <v>1.2500000000000001E-2</v>
      </c>
      <c r="H132">
        <v>8598.5499999999993</v>
      </c>
      <c r="I132" s="9" t="s">
        <v>555</v>
      </c>
      <c r="J132" s="9" t="s">
        <v>556</v>
      </c>
      <c r="K132" s="9" t="s">
        <v>148</v>
      </c>
      <c r="L132">
        <v>836086</v>
      </c>
      <c r="M132" s="8">
        <v>45614</v>
      </c>
      <c r="N132" s="9" t="s">
        <v>64</v>
      </c>
      <c r="O132">
        <v>1.2500000000000001E-2</v>
      </c>
      <c r="P132">
        <v>1</v>
      </c>
      <c r="Q132" s="9" t="s">
        <v>1820</v>
      </c>
      <c r="R132" s="9" t="s">
        <v>1838</v>
      </c>
      <c r="S132" s="9" t="s">
        <v>1839</v>
      </c>
      <c r="T132" s="9" t="s">
        <v>1838</v>
      </c>
      <c r="U132" s="9" t="s">
        <v>1840</v>
      </c>
      <c r="V132" s="9" t="s">
        <v>1838</v>
      </c>
      <c r="W132" s="9" t="s">
        <v>1838</v>
      </c>
      <c r="X132" s="9" t="s">
        <v>1838</v>
      </c>
      <c r="Y132" s="9" t="s">
        <v>1841</v>
      </c>
      <c r="Z132">
        <v>4842179.1619999995</v>
      </c>
      <c r="AA132">
        <v>12553041.036323847</v>
      </c>
      <c r="AB132" s="9" t="s">
        <v>1850</v>
      </c>
      <c r="AC132" s="9" t="s">
        <v>1838</v>
      </c>
    </row>
    <row r="133" spans="1:29">
      <c r="A133" s="9" t="s">
        <v>557</v>
      </c>
      <c r="B133" s="9" t="s">
        <v>87</v>
      </c>
      <c r="C133" s="9" t="s">
        <v>88</v>
      </c>
      <c r="D133" s="9" t="s">
        <v>58</v>
      </c>
      <c r="E133">
        <v>2023</v>
      </c>
      <c r="F133">
        <v>573553</v>
      </c>
      <c r="G133">
        <v>9.4999999999999998E-3</v>
      </c>
      <c r="H133">
        <v>5448.75</v>
      </c>
      <c r="I133" s="9" t="s">
        <v>558</v>
      </c>
      <c r="J133" s="9" t="s">
        <v>559</v>
      </c>
      <c r="K133" s="9" t="s">
        <v>560</v>
      </c>
      <c r="L133">
        <v>531642</v>
      </c>
      <c r="M133" s="8">
        <v>44163</v>
      </c>
      <c r="N133" s="9" t="s">
        <v>88</v>
      </c>
      <c r="O133">
        <v>9.4999999999999998E-3</v>
      </c>
      <c r="P133">
        <v>1</v>
      </c>
      <c r="Q133" s="9" t="s">
        <v>1823</v>
      </c>
      <c r="R133" s="9" t="s">
        <v>1838</v>
      </c>
      <c r="S133" s="9" t="s">
        <v>1839</v>
      </c>
      <c r="T133" s="9" t="s">
        <v>1838</v>
      </c>
      <c r="U133" s="9" t="s">
        <v>1840</v>
      </c>
      <c r="V133" s="9" t="s">
        <v>1838</v>
      </c>
      <c r="W133" s="9" t="s">
        <v>1838</v>
      </c>
      <c r="X133" s="9" t="s">
        <v>1838</v>
      </c>
      <c r="Y133" s="9" t="s">
        <v>1841</v>
      </c>
      <c r="Z133">
        <v>4842179.1619999995</v>
      </c>
      <c r="AA133">
        <v>12553041.036323847</v>
      </c>
      <c r="AB133" s="9" t="s">
        <v>1850</v>
      </c>
      <c r="AC133" s="9" t="s">
        <v>1838</v>
      </c>
    </row>
    <row r="134" spans="1:29">
      <c r="A134" s="9" t="s">
        <v>561</v>
      </c>
      <c r="B134" s="9" t="s">
        <v>87</v>
      </c>
      <c r="C134" s="9" t="s">
        <v>88</v>
      </c>
      <c r="D134" s="9" t="s">
        <v>97</v>
      </c>
      <c r="E134">
        <v>2024</v>
      </c>
      <c r="F134">
        <v>3243891</v>
      </c>
      <c r="G134">
        <v>2.0500000000000001E-2</v>
      </c>
      <c r="H134">
        <v>66499.77</v>
      </c>
      <c r="I134" s="9" t="s">
        <v>562</v>
      </c>
      <c r="J134" s="9" t="s">
        <v>563</v>
      </c>
      <c r="K134" s="9" t="s">
        <v>564</v>
      </c>
      <c r="L134">
        <v>3606587</v>
      </c>
      <c r="M134" s="8">
        <v>45454</v>
      </c>
      <c r="N134" s="9" t="s">
        <v>88</v>
      </c>
      <c r="O134">
        <v>2.0500000000000001E-2</v>
      </c>
      <c r="P134">
        <v>1</v>
      </c>
      <c r="Q134" s="9" t="s">
        <v>1821</v>
      </c>
      <c r="R134" s="9" t="s">
        <v>1838</v>
      </c>
      <c r="S134" s="9" t="s">
        <v>1839</v>
      </c>
      <c r="T134" s="9" t="s">
        <v>1838</v>
      </c>
      <c r="U134" s="9" t="s">
        <v>1840</v>
      </c>
      <c r="V134" s="9" t="s">
        <v>1838</v>
      </c>
      <c r="W134" s="9" t="s">
        <v>1838</v>
      </c>
      <c r="X134" s="9" t="s">
        <v>1838</v>
      </c>
      <c r="Y134" s="9" t="s">
        <v>1841</v>
      </c>
      <c r="Z134">
        <v>4842179.1619999995</v>
      </c>
      <c r="AA134">
        <v>12553041.036323847</v>
      </c>
      <c r="AB134" s="9" t="s">
        <v>1850</v>
      </c>
      <c r="AC134" s="9" t="s">
        <v>1838</v>
      </c>
    </row>
    <row r="135" spans="1:29">
      <c r="A135" s="9" t="s">
        <v>565</v>
      </c>
      <c r="B135" s="9" t="s">
        <v>87</v>
      </c>
      <c r="C135" s="9" t="s">
        <v>88</v>
      </c>
      <c r="D135" s="9" t="s">
        <v>58</v>
      </c>
      <c r="E135">
        <v>2023</v>
      </c>
      <c r="F135">
        <v>493922</v>
      </c>
      <c r="G135">
        <v>9.4999999999999998E-3</v>
      </c>
      <c r="H135">
        <v>4692.26</v>
      </c>
      <c r="I135" s="9" t="s">
        <v>566</v>
      </c>
      <c r="J135" s="9" t="s">
        <v>567</v>
      </c>
      <c r="K135" s="9" t="s">
        <v>568</v>
      </c>
      <c r="L135">
        <v>471190</v>
      </c>
      <c r="M135" s="8">
        <v>45288</v>
      </c>
      <c r="N135" s="9" t="s">
        <v>88</v>
      </c>
      <c r="O135">
        <v>9.4999999999999998E-3</v>
      </c>
      <c r="P135">
        <v>1</v>
      </c>
      <c r="Q135" s="9" t="s">
        <v>1823</v>
      </c>
      <c r="R135" s="9" t="s">
        <v>1838</v>
      </c>
      <c r="S135" s="9" t="s">
        <v>1839</v>
      </c>
      <c r="T135" s="9" t="s">
        <v>1838</v>
      </c>
      <c r="U135" s="9" t="s">
        <v>1840</v>
      </c>
      <c r="V135" s="9" t="s">
        <v>1838</v>
      </c>
      <c r="W135" s="9" t="s">
        <v>1838</v>
      </c>
      <c r="X135" s="9" t="s">
        <v>1838</v>
      </c>
      <c r="Y135" s="9" t="s">
        <v>1841</v>
      </c>
      <c r="Z135">
        <v>4842179.1619999995</v>
      </c>
      <c r="AA135">
        <v>12553041.036323847</v>
      </c>
      <c r="AB135" s="9" t="s">
        <v>1850</v>
      </c>
      <c r="AC135" s="9" t="s">
        <v>1838</v>
      </c>
    </row>
    <row r="136" spans="1:29">
      <c r="A136" s="9" t="s">
        <v>569</v>
      </c>
      <c r="B136" s="9" t="s">
        <v>131</v>
      </c>
      <c r="C136" s="9" t="s">
        <v>132</v>
      </c>
      <c r="D136" s="9" t="s">
        <v>58</v>
      </c>
      <c r="E136">
        <v>2023</v>
      </c>
      <c r="F136">
        <v>1368818</v>
      </c>
      <c r="G136">
        <v>9.7999999999999997E-3</v>
      </c>
      <c r="H136">
        <v>13414.42</v>
      </c>
      <c r="I136" s="9" t="s">
        <v>570</v>
      </c>
      <c r="J136" s="9" t="s">
        <v>571</v>
      </c>
      <c r="K136" s="9" t="s">
        <v>572</v>
      </c>
      <c r="L136">
        <v>1427425</v>
      </c>
      <c r="M136" s="8">
        <v>43884</v>
      </c>
      <c r="N136" s="9" t="s">
        <v>132</v>
      </c>
      <c r="O136">
        <v>9.7999999999999997E-3</v>
      </c>
      <c r="P136">
        <v>1</v>
      </c>
      <c r="Q136" s="9" t="s">
        <v>1823</v>
      </c>
      <c r="R136" s="9" t="s">
        <v>1838</v>
      </c>
      <c r="S136" s="9" t="s">
        <v>1839</v>
      </c>
      <c r="T136" s="9" t="s">
        <v>1838</v>
      </c>
      <c r="U136" s="9" t="s">
        <v>1840</v>
      </c>
      <c r="V136" s="9" t="s">
        <v>1838</v>
      </c>
      <c r="W136" s="9" t="s">
        <v>1838</v>
      </c>
      <c r="X136" s="9" t="s">
        <v>1838</v>
      </c>
      <c r="Y136" s="9" t="s">
        <v>1841</v>
      </c>
      <c r="Z136">
        <v>4842179.1619999995</v>
      </c>
      <c r="AA136">
        <v>12553041.036323847</v>
      </c>
      <c r="AB136" s="9" t="s">
        <v>1850</v>
      </c>
      <c r="AC136" s="9" t="s">
        <v>1838</v>
      </c>
    </row>
    <row r="137" spans="1:29">
      <c r="A137" s="9" t="s">
        <v>573</v>
      </c>
      <c r="B137" s="9" t="s">
        <v>49</v>
      </c>
      <c r="C137" s="9" t="s">
        <v>50</v>
      </c>
      <c r="D137" s="9" t="s">
        <v>71</v>
      </c>
      <c r="E137">
        <v>2021</v>
      </c>
      <c r="F137">
        <v>5641028</v>
      </c>
      <c r="G137">
        <v>1.8100000000000002E-2</v>
      </c>
      <c r="H137">
        <v>102102.61</v>
      </c>
      <c r="I137" s="9" t="s">
        <v>574</v>
      </c>
      <c r="J137" s="9" t="s">
        <v>575</v>
      </c>
      <c r="K137" s="9" t="s">
        <v>276</v>
      </c>
      <c r="L137">
        <v>5607868</v>
      </c>
      <c r="M137" s="8">
        <v>44565</v>
      </c>
      <c r="N137" s="9" t="s">
        <v>50</v>
      </c>
      <c r="O137">
        <v>1.8100000000000002E-2</v>
      </c>
      <c r="P137">
        <v>1</v>
      </c>
      <c r="Q137" s="9" t="s">
        <v>1822</v>
      </c>
      <c r="R137" s="9" t="s">
        <v>1838</v>
      </c>
      <c r="S137" s="9" t="s">
        <v>1839</v>
      </c>
      <c r="T137" s="9" t="s">
        <v>1838</v>
      </c>
      <c r="U137" s="9" t="s">
        <v>1840</v>
      </c>
      <c r="V137" s="9" t="s">
        <v>1838</v>
      </c>
      <c r="W137" s="9" t="s">
        <v>1838</v>
      </c>
      <c r="X137" s="9" t="s">
        <v>1838</v>
      </c>
      <c r="Y137" s="9" t="s">
        <v>1841</v>
      </c>
      <c r="Z137">
        <v>4842179.1619999995</v>
      </c>
      <c r="AA137">
        <v>12553041.036323847</v>
      </c>
      <c r="AB137" s="9" t="s">
        <v>1850</v>
      </c>
      <c r="AC137" s="9" t="s">
        <v>1838</v>
      </c>
    </row>
    <row r="138" spans="1:29">
      <c r="A138" s="9" t="s">
        <v>576</v>
      </c>
      <c r="B138" s="9" t="s">
        <v>101</v>
      </c>
      <c r="C138" s="9" t="s">
        <v>102</v>
      </c>
      <c r="D138" s="9" t="s">
        <v>577</v>
      </c>
      <c r="E138">
        <v>2021</v>
      </c>
      <c r="F138">
        <v>1544948</v>
      </c>
      <c r="G138">
        <v>2.0899999999999998E-2</v>
      </c>
      <c r="H138">
        <v>32289.41</v>
      </c>
      <c r="I138" s="9" t="s">
        <v>578</v>
      </c>
      <c r="J138" s="9" t="s">
        <v>579</v>
      </c>
      <c r="K138" s="9" t="s">
        <v>580</v>
      </c>
      <c r="L138">
        <v>1903512</v>
      </c>
      <c r="M138" s="8">
        <v>44826</v>
      </c>
      <c r="N138" s="9" t="s">
        <v>102</v>
      </c>
      <c r="P138">
        <v>1</v>
      </c>
      <c r="Q138" s="9"/>
      <c r="R138" s="9" t="s">
        <v>1838</v>
      </c>
      <c r="S138" s="9" t="s">
        <v>1839</v>
      </c>
      <c r="T138" s="9" t="s">
        <v>1845</v>
      </c>
      <c r="U138" s="9" t="s">
        <v>1840</v>
      </c>
      <c r="V138" s="9" t="s">
        <v>1838</v>
      </c>
      <c r="W138" s="9" t="s">
        <v>1842</v>
      </c>
      <c r="X138" s="9" t="s">
        <v>1838</v>
      </c>
      <c r="Y138" s="9" t="s">
        <v>1841</v>
      </c>
      <c r="Z138">
        <v>4842179.1619999995</v>
      </c>
      <c r="AA138">
        <v>12553041.036323847</v>
      </c>
      <c r="AB138" s="9" t="s">
        <v>1850</v>
      </c>
      <c r="AC138" s="9" t="s">
        <v>1843</v>
      </c>
    </row>
    <row r="139" spans="1:29">
      <c r="A139" s="9" t="s">
        <v>581</v>
      </c>
      <c r="B139" s="9" t="s">
        <v>87</v>
      </c>
      <c r="C139" s="9" t="s">
        <v>88</v>
      </c>
      <c r="D139" s="9" t="s">
        <v>58</v>
      </c>
      <c r="E139">
        <v>2023</v>
      </c>
      <c r="F139">
        <v>1570027</v>
      </c>
      <c r="G139">
        <v>9.4999999999999998E-3</v>
      </c>
      <c r="H139">
        <v>14915.26</v>
      </c>
      <c r="I139" s="9" t="s">
        <v>582</v>
      </c>
      <c r="J139" s="9" t="s">
        <v>583</v>
      </c>
      <c r="K139" s="9" t="s">
        <v>584</v>
      </c>
      <c r="L139">
        <v>1842727</v>
      </c>
      <c r="M139" s="8">
        <v>44498</v>
      </c>
      <c r="N139" s="9" t="s">
        <v>88</v>
      </c>
      <c r="O139">
        <v>9.4999999999999998E-3</v>
      </c>
      <c r="P139">
        <v>1</v>
      </c>
      <c r="Q139" s="9" t="s">
        <v>1823</v>
      </c>
      <c r="R139" s="9" t="s">
        <v>1838</v>
      </c>
      <c r="S139" s="9" t="s">
        <v>1839</v>
      </c>
      <c r="T139" s="9" t="s">
        <v>1838</v>
      </c>
      <c r="U139" s="9" t="s">
        <v>1840</v>
      </c>
      <c r="V139" s="9" t="s">
        <v>1842</v>
      </c>
      <c r="W139" s="9" t="s">
        <v>1838</v>
      </c>
      <c r="X139" s="9" t="s">
        <v>1838</v>
      </c>
      <c r="Y139" s="9" t="s">
        <v>1841</v>
      </c>
      <c r="Z139">
        <v>4842179.1619999995</v>
      </c>
      <c r="AA139">
        <v>12553041.036323847</v>
      </c>
      <c r="AB139" s="9" t="s">
        <v>1850</v>
      </c>
      <c r="AC139" s="9" t="s">
        <v>1843</v>
      </c>
    </row>
    <row r="140" spans="1:29">
      <c r="A140" s="9" t="s">
        <v>585</v>
      </c>
      <c r="B140" s="9" t="s">
        <v>69</v>
      </c>
      <c r="C140" s="9" t="s">
        <v>70</v>
      </c>
      <c r="D140" s="9" t="s">
        <v>71</v>
      </c>
      <c r="E140">
        <v>2024</v>
      </c>
      <c r="F140">
        <v>4018669</v>
      </c>
      <c r="G140">
        <v>1.8599999999999998E-2</v>
      </c>
      <c r="H140">
        <v>74747.240000000005</v>
      </c>
      <c r="I140" s="9" t="s">
        <v>586</v>
      </c>
      <c r="J140" s="9" t="s">
        <v>587</v>
      </c>
      <c r="K140" s="9" t="s">
        <v>588</v>
      </c>
      <c r="L140">
        <v>4042747</v>
      </c>
      <c r="M140" s="8">
        <v>44714</v>
      </c>
      <c r="N140" s="9" t="s">
        <v>70</v>
      </c>
      <c r="O140">
        <v>1.8599999999999998E-2</v>
      </c>
      <c r="P140">
        <v>1</v>
      </c>
      <c r="Q140" s="9" t="s">
        <v>1822</v>
      </c>
      <c r="R140" s="9" t="s">
        <v>1838</v>
      </c>
      <c r="S140" s="9" t="s">
        <v>1839</v>
      </c>
      <c r="T140" s="9" t="s">
        <v>1838</v>
      </c>
      <c r="U140" s="9" t="s">
        <v>1840</v>
      </c>
      <c r="V140" s="9" t="s">
        <v>1838</v>
      </c>
      <c r="W140" s="9" t="s">
        <v>1838</v>
      </c>
      <c r="X140" s="9" t="s">
        <v>1838</v>
      </c>
      <c r="Y140" s="9" t="s">
        <v>1841</v>
      </c>
      <c r="Z140">
        <v>4842179.1619999995</v>
      </c>
      <c r="AA140">
        <v>12553041.036323847</v>
      </c>
      <c r="AB140" s="9" t="s">
        <v>1850</v>
      </c>
      <c r="AC140" s="9" t="s">
        <v>1838</v>
      </c>
    </row>
    <row r="141" spans="1:29">
      <c r="A141" s="9" t="s">
        <v>589</v>
      </c>
      <c r="B141" s="9" t="s">
        <v>131</v>
      </c>
      <c r="C141" s="9" t="s">
        <v>138</v>
      </c>
      <c r="D141" s="9" t="s">
        <v>58</v>
      </c>
      <c r="E141">
        <v>2024</v>
      </c>
      <c r="F141">
        <v>676022</v>
      </c>
      <c r="G141">
        <v>9.7999999999999997E-3</v>
      </c>
      <c r="H141">
        <v>6625.02</v>
      </c>
      <c r="I141" s="9" t="s">
        <v>590</v>
      </c>
      <c r="J141" s="9" t="s">
        <v>591</v>
      </c>
      <c r="K141" s="9" t="s">
        <v>95</v>
      </c>
      <c r="L141">
        <v>790360</v>
      </c>
      <c r="M141" s="8">
        <v>45543</v>
      </c>
      <c r="N141" s="9" t="s">
        <v>132</v>
      </c>
      <c r="O141">
        <v>9.7999999999999997E-3</v>
      </c>
      <c r="P141">
        <v>1</v>
      </c>
      <c r="Q141" s="9" t="s">
        <v>1823</v>
      </c>
      <c r="R141" s="9" t="s">
        <v>1838</v>
      </c>
      <c r="S141" s="9" t="s">
        <v>1845</v>
      </c>
      <c r="T141" s="9" t="s">
        <v>1838</v>
      </c>
      <c r="U141" s="9" t="s">
        <v>1840</v>
      </c>
      <c r="V141" s="9" t="s">
        <v>1838</v>
      </c>
      <c r="W141" s="9" t="s">
        <v>1838</v>
      </c>
      <c r="X141" s="9" t="s">
        <v>1838</v>
      </c>
      <c r="Y141" s="9" t="s">
        <v>1841</v>
      </c>
      <c r="Z141">
        <v>4842179.1619999995</v>
      </c>
      <c r="AA141">
        <v>12553041.036323847</v>
      </c>
      <c r="AB141" s="9" t="s">
        <v>1850</v>
      </c>
      <c r="AC141" s="9" t="s">
        <v>1843</v>
      </c>
    </row>
    <row r="142" spans="1:29">
      <c r="A142" s="9" t="s">
        <v>592</v>
      </c>
      <c r="B142" s="9" t="s">
        <v>150</v>
      </c>
      <c r="C142" s="9" t="s">
        <v>151</v>
      </c>
      <c r="D142" s="9" t="s">
        <v>97</v>
      </c>
      <c r="E142">
        <v>2021</v>
      </c>
      <c r="F142">
        <v>2794839</v>
      </c>
      <c r="G142">
        <v>2.0299999999999999E-2</v>
      </c>
      <c r="H142">
        <v>56735.23</v>
      </c>
      <c r="I142" s="9" t="s">
        <v>593</v>
      </c>
      <c r="J142" s="9" t="s">
        <v>594</v>
      </c>
      <c r="K142" s="9" t="s">
        <v>595</v>
      </c>
      <c r="L142">
        <v>3083214</v>
      </c>
      <c r="M142" s="8">
        <v>44371</v>
      </c>
      <c r="N142" s="9" t="s">
        <v>151</v>
      </c>
      <c r="O142">
        <v>2.0299999999999999E-2</v>
      </c>
      <c r="P142">
        <v>1</v>
      </c>
      <c r="Q142" s="9" t="s">
        <v>1821</v>
      </c>
      <c r="R142" s="9" t="s">
        <v>1838</v>
      </c>
      <c r="S142" s="9" t="s">
        <v>1839</v>
      </c>
      <c r="T142" s="9" t="s">
        <v>1838</v>
      </c>
      <c r="U142" s="9" t="s">
        <v>1840</v>
      </c>
      <c r="V142" s="9" t="s">
        <v>1838</v>
      </c>
      <c r="W142" s="9" t="s">
        <v>1838</v>
      </c>
      <c r="X142" s="9" t="s">
        <v>1838</v>
      </c>
      <c r="Y142" s="9" t="s">
        <v>1841</v>
      </c>
      <c r="Z142">
        <v>4842179.1619999995</v>
      </c>
      <c r="AA142">
        <v>12553041.036323847</v>
      </c>
      <c r="AB142" s="9" t="s">
        <v>1850</v>
      </c>
      <c r="AC142" s="9" t="s">
        <v>1838</v>
      </c>
    </row>
    <row r="143" spans="1:29">
      <c r="A143" s="9" t="s">
        <v>596</v>
      </c>
      <c r="B143" s="9" t="s">
        <v>101</v>
      </c>
      <c r="C143" s="9" t="s">
        <v>102</v>
      </c>
      <c r="D143" s="9" t="s">
        <v>71</v>
      </c>
      <c r="E143">
        <v>2024</v>
      </c>
      <c r="F143">
        <v>4660688</v>
      </c>
      <c r="G143">
        <v>1.89E-2</v>
      </c>
      <c r="H143">
        <v>88087</v>
      </c>
      <c r="I143" s="9" t="s">
        <v>597</v>
      </c>
      <c r="J143" s="9" t="s">
        <v>598</v>
      </c>
      <c r="K143" s="9" t="s">
        <v>369</v>
      </c>
      <c r="L143">
        <v>4703387</v>
      </c>
      <c r="M143" s="8">
        <v>45129</v>
      </c>
      <c r="N143" s="9" t="s">
        <v>102</v>
      </c>
      <c r="O143">
        <v>1.89E-2</v>
      </c>
      <c r="P143">
        <v>1</v>
      </c>
      <c r="Q143" s="9" t="s">
        <v>1822</v>
      </c>
      <c r="R143" s="9" t="s">
        <v>1838</v>
      </c>
      <c r="S143" s="9" t="s">
        <v>1839</v>
      </c>
      <c r="T143" s="9" t="s">
        <v>1838</v>
      </c>
      <c r="U143" s="9" t="s">
        <v>1840</v>
      </c>
      <c r="V143" s="9" t="s">
        <v>1838</v>
      </c>
      <c r="W143" s="9" t="s">
        <v>1838</v>
      </c>
      <c r="X143" s="9" t="s">
        <v>1838</v>
      </c>
      <c r="Y143" s="9" t="s">
        <v>1841</v>
      </c>
      <c r="Z143">
        <v>4842179.1619999995</v>
      </c>
      <c r="AA143">
        <v>12553041.036323847</v>
      </c>
      <c r="AB143" s="9" t="s">
        <v>1850</v>
      </c>
      <c r="AC143" s="9" t="s">
        <v>1838</v>
      </c>
    </row>
    <row r="144" spans="1:29">
      <c r="A144" s="9" t="s">
        <v>599</v>
      </c>
      <c r="B144" s="9" t="s">
        <v>76</v>
      </c>
      <c r="C144" s="9" t="s">
        <v>77</v>
      </c>
      <c r="D144" s="9" t="s">
        <v>82</v>
      </c>
      <c r="E144">
        <v>2024</v>
      </c>
      <c r="F144">
        <v>5526557</v>
      </c>
      <c r="G144">
        <v>1.47E-2</v>
      </c>
      <c r="H144">
        <v>81240.39</v>
      </c>
      <c r="I144" s="9" t="s">
        <v>600</v>
      </c>
      <c r="J144" s="9" t="s">
        <v>583</v>
      </c>
      <c r="K144" s="9" t="s">
        <v>162</v>
      </c>
      <c r="L144">
        <v>5614133</v>
      </c>
      <c r="M144" s="8">
        <v>45070</v>
      </c>
      <c r="N144" s="9" t="s">
        <v>77</v>
      </c>
      <c r="O144">
        <v>1.47E-2</v>
      </c>
      <c r="P144">
        <v>1</v>
      </c>
      <c r="Q144" s="9" t="s">
        <v>1824</v>
      </c>
      <c r="R144" s="9" t="s">
        <v>1838</v>
      </c>
      <c r="S144" s="9" t="s">
        <v>1839</v>
      </c>
      <c r="T144" s="9" t="s">
        <v>1838</v>
      </c>
      <c r="U144" s="9" t="s">
        <v>1840</v>
      </c>
      <c r="V144" s="9" t="s">
        <v>1842</v>
      </c>
      <c r="W144" s="9" t="s">
        <v>1838</v>
      </c>
      <c r="X144" s="9" t="s">
        <v>1838</v>
      </c>
      <c r="Y144" s="9" t="s">
        <v>1841</v>
      </c>
      <c r="Z144">
        <v>4842179.1619999995</v>
      </c>
      <c r="AA144">
        <v>12553041.036323847</v>
      </c>
      <c r="AB144" s="9" t="s">
        <v>1850</v>
      </c>
      <c r="AC144" s="9" t="s">
        <v>1843</v>
      </c>
    </row>
    <row r="145" spans="1:29">
      <c r="A145" s="9" t="s">
        <v>601</v>
      </c>
      <c r="B145" s="9" t="s">
        <v>602</v>
      </c>
      <c r="C145" s="9" t="s">
        <v>50</v>
      </c>
      <c r="D145" s="9" t="s">
        <v>97</v>
      </c>
      <c r="E145">
        <v>2024</v>
      </c>
      <c r="F145">
        <v>3049062</v>
      </c>
      <c r="G145">
        <v>2.0899999999999998E-2</v>
      </c>
      <c r="H145">
        <v>63725.4</v>
      </c>
      <c r="I145" s="9" t="s">
        <v>603</v>
      </c>
      <c r="J145" s="9" t="s">
        <v>604</v>
      </c>
      <c r="K145" s="9" t="s">
        <v>240</v>
      </c>
      <c r="L145">
        <v>2852743</v>
      </c>
      <c r="M145" s="8">
        <v>45296</v>
      </c>
      <c r="N145" s="9"/>
      <c r="P145">
        <v>1</v>
      </c>
      <c r="Q145" s="9" t="s">
        <v>1821</v>
      </c>
      <c r="R145" s="9" t="s">
        <v>1842</v>
      </c>
      <c r="S145" s="9" t="s">
        <v>1845</v>
      </c>
      <c r="T145" s="9" t="s">
        <v>1845</v>
      </c>
      <c r="U145" s="9" t="s">
        <v>1840</v>
      </c>
      <c r="V145" s="9" t="s">
        <v>1838</v>
      </c>
      <c r="W145" s="9" t="s">
        <v>1838</v>
      </c>
      <c r="X145" s="9" t="s">
        <v>1838</v>
      </c>
      <c r="Y145" s="9" t="s">
        <v>1841</v>
      </c>
      <c r="Z145">
        <v>4842179.1619999995</v>
      </c>
      <c r="AA145">
        <v>12553041.036323847</v>
      </c>
      <c r="AB145" s="9" t="s">
        <v>1850</v>
      </c>
      <c r="AC145" s="9" t="s">
        <v>1843</v>
      </c>
    </row>
    <row r="146" spans="1:29">
      <c r="A146" s="9" t="s">
        <v>605</v>
      </c>
      <c r="B146" s="9" t="s">
        <v>131</v>
      </c>
      <c r="C146" s="9" t="s">
        <v>132</v>
      </c>
      <c r="D146" s="9" t="s">
        <v>71</v>
      </c>
      <c r="E146">
        <v>2023</v>
      </c>
      <c r="F146">
        <v>3016874</v>
      </c>
      <c r="G146">
        <v>1.8800000000000001E-2</v>
      </c>
      <c r="H146">
        <v>56717.23</v>
      </c>
      <c r="I146" s="9" t="s">
        <v>606</v>
      </c>
      <c r="J146" s="9" t="s">
        <v>607</v>
      </c>
      <c r="K146" s="9" t="s">
        <v>608</v>
      </c>
      <c r="L146">
        <v>3198644</v>
      </c>
      <c r="M146" s="8">
        <v>44184</v>
      </c>
      <c r="N146" s="9" t="s">
        <v>132</v>
      </c>
      <c r="O146">
        <v>1.8800000000000001E-2</v>
      </c>
      <c r="P146">
        <v>1</v>
      </c>
      <c r="Q146" s="9" t="s">
        <v>1822</v>
      </c>
      <c r="R146" s="9" t="s">
        <v>1838</v>
      </c>
      <c r="S146" s="9" t="s">
        <v>1839</v>
      </c>
      <c r="T146" s="9" t="s">
        <v>1838</v>
      </c>
      <c r="U146" s="9" t="s">
        <v>1840</v>
      </c>
      <c r="V146" s="9" t="s">
        <v>1838</v>
      </c>
      <c r="W146" s="9" t="s">
        <v>1838</v>
      </c>
      <c r="X146" s="9" t="s">
        <v>1838</v>
      </c>
      <c r="Y146" s="9" t="s">
        <v>1841</v>
      </c>
      <c r="Z146">
        <v>4842179.1619999995</v>
      </c>
      <c r="AA146">
        <v>12553041.036323847</v>
      </c>
      <c r="AB146" s="9" t="s">
        <v>1850</v>
      </c>
      <c r="AC146" s="9" t="s">
        <v>1838</v>
      </c>
    </row>
    <row r="147" spans="1:29">
      <c r="A147" s="9" t="s">
        <v>609</v>
      </c>
      <c r="B147" s="9" t="s">
        <v>137</v>
      </c>
      <c r="C147" s="9" t="s">
        <v>138</v>
      </c>
      <c r="D147" s="9" t="s">
        <v>82</v>
      </c>
      <c r="E147">
        <v>2021</v>
      </c>
      <c r="F147">
        <v>9152377</v>
      </c>
      <c r="G147">
        <v>1.4999999999999999E-2</v>
      </c>
      <c r="H147">
        <v>137285.65</v>
      </c>
      <c r="I147" s="9" t="s">
        <v>610</v>
      </c>
      <c r="J147" s="9" t="s">
        <v>611</v>
      </c>
      <c r="K147" s="9" t="s">
        <v>444</v>
      </c>
      <c r="L147">
        <v>10272862</v>
      </c>
      <c r="M147" s="8">
        <v>44175</v>
      </c>
      <c r="N147" s="9" t="s">
        <v>138</v>
      </c>
      <c r="O147">
        <v>1.4999999999999999E-2</v>
      </c>
      <c r="P147">
        <v>1</v>
      </c>
      <c r="Q147" s="9" t="s">
        <v>1824</v>
      </c>
      <c r="R147" s="9" t="s">
        <v>1838</v>
      </c>
      <c r="S147" s="9" t="s">
        <v>1839</v>
      </c>
      <c r="T147" s="9" t="s">
        <v>1838</v>
      </c>
      <c r="U147" s="9" t="s">
        <v>1840</v>
      </c>
      <c r="V147" s="9" t="s">
        <v>1838</v>
      </c>
      <c r="W147" s="9" t="s">
        <v>1838</v>
      </c>
      <c r="X147" s="9" t="s">
        <v>1838</v>
      </c>
      <c r="Y147" s="9" t="s">
        <v>1841</v>
      </c>
      <c r="Z147">
        <v>4842179.1619999995</v>
      </c>
      <c r="AA147">
        <v>12553041.036323847</v>
      </c>
      <c r="AB147" s="9" t="s">
        <v>1850</v>
      </c>
      <c r="AC147" s="9" t="s">
        <v>1838</v>
      </c>
    </row>
    <row r="148" spans="1:29">
      <c r="A148" s="9" t="s">
        <v>612</v>
      </c>
      <c r="B148" s="9" t="s">
        <v>613</v>
      </c>
      <c r="C148" s="9" t="s">
        <v>64</v>
      </c>
      <c r="D148" s="9" t="s">
        <v>97</v>
      </c>
      <c r="E148">
        <v>2024</v>
      </c>
      <c r="F148">
        <v>1910183</v>
      </c>
      <c r="G148">
        <v>2.0400000000000001E-2</v>
      </c>
      <c r="H148">
        <v>38967.730000000003</v>
      </c>
      <c r="I148" s="9" t="s">
        <v>614</v>
      </c>
      <c r="J148" s="9" t="s">
        <v>615</v>
      </c>
      <c r="K148" s="9" t="s">
        <v>616</v>
      </c>
      <c r="L148">
        <v>2047915</v>
      </c>
      <c r="M148" s="8">
        <v>45651</v>
      </c>
      <c r="N148" s="9"/>
      <c r="P148">
        <v>1</v>
      </c>
      <c r="Q148" s="9" t="s">
        <v>1821</v>
      </c>
      <c r="R148" s="9" t="s">
        <v>1842</v>
      </c>
      <c r="S148" s="9" t="s">
        <v>1845</v>
      </c>
      <c r="T148" s="9" t="s">
        <v>1845</v>
      </c>
      <c r="U148" s="9" t="s">
        <v>1840</v>
      </c>
      <c r="V148" s="9" t="s">
        <v>1838</v>
      </c>
      <c r="W148" s="9" t="s">
        <v>1838</v>
      </c>
      <c r="X148" s="9" t="s">
        <v>1838</v>
      </c>
      <c r="Y148" s="9" t="s">
        <v>1841</v>
      </c>
      <c r="Z148">
        <v>4842179.1619999995</v>
      </c>
      <c r="AA148">
        <v>12553041.036323847</v>
      </c>
      <c r="AB148" s="9" t="s">
        <v>1850</v>
      </c>
      <c r="AC148" s="9" t="s">
        <v>1843</v>
      </c>
    </row>
    <row r="149" spans="1:29">
      <c r="A149" s="9" t="s">
        <v>617</v>
      </c>
      <c r="B149" s="9" t="s">
        <v>101</v>
      </c>
      <c r="C149" s="9" t="s">
        <v>102</v>
      </c>
      <c r="D149" s="9" t="s">
        <v>58</v>
      </c>
      <c r="E149">
        <v>2022</v>
      </c>
      <c r="F149">
        <v>704400</v>
      </c>
      <c r="G149">
        <v>9.9000000000000008E-3</v>
      </c>
      <c r="H149">
        <v>6973.56</v>
      </c>
      <c r="I149" s="9" t="s">
        <v>618</v>
      </c>
      <c r="J149" s="9" t="s">
        <v>619</v>
      </c>
      <c r="K149" s="9" t="s">
        <v>620</v>
      </c>
      <c r="L149">
        <v>825056</v>
      </c>
      <c r="M149" s="8">
        <v>44968</v>
      </c>
      <c r="N149" s="9" t="s">
        <v>102</v>
      </c>
      <c r="O149">
        <v>9.9000000000000008E-3</v>
      </c>
      <c r="P149">
        <v>1</v>
      </c>
      <c r="Q149" s="9" t="s">
        <v>1823</v>
      </c>
      <c r="R149" s="9" t="s">
        <v>1838</v>
      </c>
      <c r="S149" s="9" t="s">
        <v>1839</v>
      </c>
      <c r="T149" s="9" t="s">
        <v>1838</v>
      </c>
      <c r="U149" s="9" t="s">
        <v>1840</v>
      </c>
      <c r="V149" s="9" t="s">
        <v>1838</v>
      </c>
      <c r="W149" s="9" t="s">
        <v>1838</v>
      </c>
      <c r="X149" s="9" t="s">
        <v>1838</v>
      </c>
      <c r="Y149" s="9" t="s">
        <v>1841</v>
      </c>
      <c r="Z149">
        <v>4842179.1619999995</v>
      </c>
      <c r="AA149">
        <v>12553041.036323847</v>
      </c>
      <c r="AB149" s="9" t="s">
        <v>1850</v>
      </c>
      <c r="AC149" s="9" t="s">
        <v>1838</v>
      </c>
    </row>
    <row r="150" spans="1:29">
      <c r="A150" s="9" t="s">
        <v>621</v>
      </c>
      <c r="B150" s="9" t="s">
        <v>56</v>
      </c>
      <c r="C150" s="9" t="s">
        <v>57</v>
      </c>
      <c r="D150" s="9" t="s">
        <v>51</v>
      </c>
      <c r="E150">
        <v>2024</v>
      </c>
      <c r="F150">
        <v>805738</v>
      </c>
      <c r="G150">
        <v>1.24E-2</v>
      </c>
      <c r="H150">
        <v>9991.15</v>
      </c>
      <c r="I150" s="9" t="s">
        <v>622</v>
      </c>
      <c r="J150" s="9" t="s">
        <v>623</v>
      </c>
      <c r="K150" s="9" t="s">
        <v>113</v>
      </c>
      <c r="L150">
        <v>784352</v>
      </c>
      <c r="M150" s="8">
        <v>45707</v>
      </c>
      <c r="N150" s="9" t="s">
        <v>57</v>
      </c>
      <c r="O150">
        <v>1.24E-2</v>
      </c>
      <c r="P150">
        <v>1</v>
      </c>
      <c r="Q150" s="9" t="s">
        <v>1820</v>
      </c>
      <c r="R150" s="9" t="s">
        <v>1838</v>
      </c>
      <c r="S150" s="9" t="s">
        <v>1839</v>
      </c>
      <c r="T150" s="9" t="s">
        <v>1838</v>
      </c>
      <c r="U150" s="9" t="s">
        <v>1840</v>
      </c>
      <c r="V150" s="9" t="s">
        <v>1838</v>
      </c>
      <c r="W150" s="9" t="s">
        <v>1838</v>
      </c>
      <c r="X150" s="9" t="s">
        <v>1838</v>
      </c>
      <c r="Y150" s="9" t="s">
        <v>1841</v>
      </c>
      <c r="Z150">
        <v>4842179.1619999995</v>
      </c>
      <c r="AA150">
        <v>12553041.036323847</v>
      </c>
      <c r="AB150" s="9" t="s">
        <v>1850</v>
      </c>
      <c r="AC150" s="9" t="s">
        <v>1838</v>
      </c>
    </row>
    <row r="151" spans="1:29">
      <c r="A151" s="9" t="s">
        <v>624</v>
      </c>
      <c r="B151" s="9" t="s">
        <v>87</v>
      </c>
      <c r="C151" s="9" t="s">
        <v>88</v>
      </c>
      <c r="D151" s="9" t="s">
        <v>71</v>
      </c>
      <c r="E151">
        <v>2024</v>
      </c>
      <c r="F151">
        <v>2818039</v>
      </c>
      <c r="G151">
        <v>1.8499999999999999E-2</v>
      </c>
      <c r="H151">
        <v>52133.72</v>
      </c>
      <c r="I151" s="9" t="s">
        <v>625</v>
      </c>
      <c r="J151" s="9" t="s">
        <v>626</v>
      </c>
      <c r="K151" s="9" t="s">
        <v>627</v>
      </c>
      <c r="L151">
        <v>3101132</v>
      </c>
      <c r="M151" s="8">
        <v>45250</v>
      </c>
      <c r="N151" s="9" t="s">
        <v>88</v>
      </c>
      <c r="O151">
        <v>1.8499999999999999E-2</v>
      </c>
      <c r="P151">
        <v>1</v>
      </c>
      <c r="Q151" s="9" t="s">
        <v>1822</v>
      </c>
      <c r="R151" s="9" t="s">
        <v>1838</v>
      </c>
      <c r="S151" s="9" t="s">
        <v>1839</v>
      </c>
      <c r="T151" s="9" t="s">
        <v>1838</v>
      </c>
      <c r="U151" s="9" t="s">
        <v>1840</v>
      </c>
      <c r="V151" s="9" t="s">
        <v>1838</v>
      </c>
      <c r="W151" s="9" t="s">
        <v>1838</v>
      </c>
      <c r="X151" s="9" t="s">
        <v>1838</v>
      </c>
      <c r="Y151" s="9" t="s">
        <v>1841</v>
      </c>
      <c r="Z151">
        <v>4842179.1619999995</v>
      </c>
      <c r="AA151">
        <v>12553041.036323847</v>
      </c>
      <c r="AB151" s="9" t="s">
        <v>1850</v>
      </c>
      <c r="AC151" s="9" t="s">
        <v>1838</v>
      </c>
    </row>
    <row r="152" spans="1:29">
      <c r="A152" s="9" t="s">
        <v>628</v>
      </c>
      <c r="B152" s="9" t="s">
        <v>49</v>
      </c>
      <c r="C152" s="9" t="s">
        <v>50</v>
      </c>
      <c r="D152" s="9" t="s">
        <v>97</v>
      </c>
      <c r="E152">
        <v>2024</v>
      </c>
      <c r="F152">
        <v>4617770</v>
      </c>
      <c r="G152">
        <v>2.01E-2</v>
      </c>
      <c r="H152">
        <v>92817.18</v>
      </c>
      <c r="I152" s="9" t="s">
        <v>629</v>
      </c>
      <c r="J152" s="9" t="s">
        <v>630</v>
      </c>
      <c r="K152" s="9" t="s">
        <v>631</v>
      </c>
      <c r="L152">
        <v>5440239</v>
      </c>
      <c r="M152" s="8">
        <v>44387</v>
      </c>
      <c r="N152" s="9" t="s">
        <v>50</v>
      </c>
      <c r="O152">
        <v>2.01E-2</v>
      </c>
      <c r="P152">
        <v>1</v>
      </c>
      <c r="Q152" s="9" t="s">
        <v>1821</v>
      </c>
      <c r="R152" s="9" t="s">
        <v>1838</v>
      </c>
      <c r="S152" s="9" t="s">
        <v>1839</v>
      </c>
      <c r="T152" s="9" t="s">
        <v>1838</v>
      </c>
      <c r="U152" s="9" t="s">
        <v>1840</v>
      </c>
      <c r="V152" s="9" t="s">
        <v>1838</v>
      </c>
      <c r="W152" s="9" t="s">
        <v>1838</v>
      </c>
      <c r="X152" s="9" t="s">
        <v>1838</v>
      </c>
      <c r="Y152" s="9" t="s">
        <v>1841</v>
      </c>
      <c r="Z152">
        <v>4842179.1619999995</v>
      </c>
      <c r="AA152">
        <v>12553041.036323847</v>
      </c>
      <c r="AB152" s="9" t="s">
        <v>1850</v>
      </c>
      <c r="AC152" s="9" t="s">
        <v>1838</v>
      </c>
    </row>
    <row r="153" spans="1:29">
      <c r="A153" s="9" t="s">
        <v>632</v>
      </c>
      <c r="B153" s="9" t="s">
        <v>69</v>
      </c>
      <c r="C153" s="9" t="s">
        <v>70</v>
      </c>
      <c r="D153" s="9" t="s">
        <v>82</v>
      </c>
      <c r="E153">
        <v>2023</v>
      </c>
      <c r="F153">
        <v>9462643</v>
      </c>
      <c r="G153">
        <v>1.49E-2</v>
      </c>
      <c r="H153">
        <v>140993.38</v>
      </c>
      <c r="I153" s="9" t="s">
        <v>633</v>
      </c>
      <c r="J153" s="9" t="s">
        <v>634</v>
      </c>
      <c r="K153" s="9" t="s">
        <v>635</v>
      </c>
      <c r="L153">
        <v>9218015</v>
      </c>
      <c r="M153" s="8">
        <v>44380</v>
      </c>
      <c r="N153" s="9" t="s">
        <v>70</v>
      </c>
      <c r="O153">
        <v>1.49E-2</v>
      </c>
      <c r="P153">
        <v>2</v>
      </c>
      <c r="Q153" s="9" t="s">
        <v>1824</v>
      </c>
      <c r="R153" s="9" t="s">
        <v>1838</v>
      </c>
      <c r="S153" s="9" t="s">
        <v>1839</v>
      </c>
      <c r="T153" s="9" t="s">
        <v>1838</v>
      </c>
      <c r="U153" s="9" t="s">
        <v>1844</v>
      </c>
      <c r="V153" s="9" t="s">
        <v>1838</v>
      </c>
      <c r="W153" s="9" t="s">
        <v>1838</v>
      </c>
      <c r="X153" s="9" t="s">
        <v>1838</v>
      </c>
      <c r="Y153" s="9" t="s">
        <v>1841</v>
      </c>
      <c r="Z153">
        <v>4842179.1619999995</v>
      </c>
      <c r="AA153">
        <v>12553041.036323847</v>
      </c>
      <c r="AB153" s="9" t="s">
        <v>1850</v>
      </c>
      <c r="AC153" s="9" t="s">
        <v>1843</v>
      </c>
    </row>
    <row r="154" spans="1:29">
      <c r="A154" s="9" t="s">
        <v>632</v>
      </c>
      <c r="B154" s="9" t="s">
        <v>63</v>
      </c>
      <c r="C154" s="9" t="s">
        <v>64</v>
      </c>
      <c r="D154" s="9" t="s">
        <v>82</v>
      </c>
      <c r="E154">
        <v>2023</v>
      </c>
      <c r="F154">
        <v>7396153</v>
      </c>
      <c r="G154">
        <v>1.4800000000000001E-2</v>
      </c>
      <c r="H154">
        <v>109463.06</v>
      </c>
      <c r="I154" s="9" t="s">
        <v>1057</v>
      </c>
      <c r="J154" s="9" t="s">
        <v>1058</v>
      </c>
      <c r="K154" s="9" t="s">
        <v>205</v>
      </c>
      <c r="L154">
        <v>7300499</v>
      </c>
      <c r="M154" s="8">
        <v>45111</v>
      </c>
      <c r="N154" s="9" t="s">
        <v>64</v>
      </c>
      <c r="O154">
        <v>1.4800000000000001E-2</v>
      </c>
      <c r="P154">
        <v>2</v>
      </c>
      <c r="Q154" s="9" t="s">
        <v>1824</v>
      </c>
      <c r="R154" s="9" t="s">
        <v>1838</v>
      </c>
      <c r="S154" s="9" t="s">
        <v>1839</v>
      </c>
      <c r="T154" s="9" t="s">
        <v>1838</v>
      </c>
      <c r="U154" s="9" t="s">
        <v>1844</v>
      </c>
      <c r="V154" s="9" t="s">
        <v>1838</v>
      </c>
      <c r="W154" s="9" t="s">
        <v>1838</v>
      </c>
      <c r="X154" s="9" t="s">
        <v>1838</v>
      </c>
      <c r="Y154" s="9" t="s">
        <v>1841</v>
      </c>
      <c r="Z154">
        <v>4842179.1619999995</v>
      </c>
      <c r="AA154">
        <v>12553041.036323847</v>
      </c>
      <c r="AB154" s="9" t="s">
        <v>1850</v>
      </c>
      <c r="AC154" s="9" t="s">
        <v>1843</v>
      </c>
    </row>
    <row r="155" spans="1:29">
      <c r="A155" s="9" t="s">
        <v>636</v>
      </c>
      <c r="B155" s="9" t="s">
        <v>150</v>
      </c>
      <c r="C155" s="9" t="s">
        <v>151</v>
      </c>
      <c r="D155" s="9" t="s">
        <v>71</v>
      </c>
      <c r="E155">
        <v>2023</v>
      </c>
      <c r="F155">
        <v>5261023</v>
      </c>
      <c r="G155">
        <v>1.83E-2</v>
      </c>
      <c r="H155">
        <v>96276.72</v>
      </c>
      <c r="I155" s="9" t="s">
        <v>637</v>
      </c>
      <c r="J155" s="9" t="s">
        <v>638</v>
      </c>
      <c r="K155" s="9" t="s">
        <v>404</v>
      </c>
      <c r="L155">
        <v>5575534</v>
      </c>
      <c r="M155" s="8">
        <v>44707</v>
      </c>
      <c r="N155" s="9" t="s">
        <v>151</v>
      </c>
      <c r="O155">
        <v>1.83E-2</v>
      </c>
      <c r="P155">
        <v>1</v>
      </c>
      <c r="Q155" s="9" t="s">
        <v>1822</v>
      </c>
      <c r="R155" s="9" t="s">
        <v>1838</v>
      </c>
      <c r="S155" s="9" t="s">
        <v>1839</v>
      </c>
      <c r="T155" s="9" t="s">
        <v>1838</v>
      </c>
      <c r="U155" s="9" t="s">
        <v>1840</v>
      </c>
      <c r="V155" s="9" t="s">
        <v>1838</v>
      </c>
      <c r="W155" s="9" t="s">
        <v>1838</v>
      </c>
      <c r="X155" s="9" t="s">
        <v>1838</v>
      </c>
      <c r="Y155" s="9" t="s">
        <v>1841</v>
      </c>
      <c r="Z155">
        <v>4842179.1619999995</v>
      </c>
      <c r="AA155">
        <v>12553041.036323847</v>
      </c>
      <c r="AB155" s="9" t="s">
        <v>1850</v>
      </c>
      <c r="AC155" s="9" t="s">
        <v>1838</v>
      </c>
    </row>
    <row r="156" spans="1:29">
      <c r="A156" s="9" t="s">
        <v>639</v>
      </c>
      <c r="B156" s="9" t="s">
        <v>76</v>
      </c>
      <c r="C156" s="9" t="s">
        <v>77</v>
      </c>
      <c r="D156" s="9" t="s">
        <v>97</v>
      </c>
      <c r="E156">
        <v>2023</v>
      </c>
      <c r="F156">
        <v>1516415</v>
      </c>
      <c r="G156">
        <v>2.0400000000000001E-2</v>
      </c>
      <c r="H156">
        <v>30934.87</v>
      </c>
      <c r="I156" s="9" t="s">
        <v>640</v>
      </c>
      <c r="J156" s="9" t="s">
        <v>641</v>
      </c>
      <c r="K156" s="9" t="s">
        <v>642</v>
      </c>
      <c r="L156">
        <v>1478046</v>
      </c>
      <c r="M156" s="8">
        <v>43990</v>
      </c>
      <c r="N156" s="9" t="s">
        <v>77</v>
      </c>
      <c r="O156">
        <v>2.0400000000000001E-2</v>
      </c>
      <c r="P156">
        <v>1</v>
      </c>
      <c r="Q156" s="9" t="s">
        <v>1821</v>
      </c>
      <c r="R156" s="9" t="s">
        <v>1838</v>
      </c>
      <c r="S156" s="9" t="s">
        <v>1839</v>
      </c>
      <c r="T156" s="9" t="s">
        <v>1838</v>
      </c>
      <c r="U156" s="9" t="s">
        <v>1840</v>
      </c>
      <c r="V156" s="9" t="s">
        <v>1838</v>
      </c>
      <c r="W156" s="9" t="s">
        <v>1838</v>
      </c>
      <c r="X156" s="9" t="s">
        <v>1838</v>
      </c>
      <c r="Y156" s="9" t="s">
        <v>1841</v>
      </c>
      <c r="Z156">
        <v>4842179.1619999995</v>
      </c>
      <c r="AA156">
        <v>12553041.036323847</v>
      </c>
      <c r="AB156" s="9" t="s">
        <v>1850</v>
      </c>
      <c r="AC156" s="9" t="s">
        <v>1838</v>
      </c>
    </row>
    <row r="157" spans="1:29">
      <c r="A157" s="9" t="s">
        <v>643</v>
      </c>
      <c r="B157" s="9" t="s">
        <v>131</v>
      </c>
      <c r="C157" s="9" t="s">
        <v>132</v>
      </c>
      <c r="D157" s="9" t="s">
        <v>644</v>
      </c>
      <c r="E157">
        <v>2022</v>
      </c>
      <c r="F157">
        <v>7288890</v>
      </c>
      <c r="G157">
        <v>1.5100000000000001E-2</v>
      </c>
      <c r="H157">
        <v>110062.24</v>
      </c>
      <c r="I157" s="9" t="s">
        <v>645</v>
      </c>
      <c r="J157" s="9" t="s">
        <v>646</v>
      </c>
      <c r="K157" s="9" t="s">
        <v>647</v>
      </c>
      <c r="L157">
        <v>7359396</v>
      </c>
      <c r="M157" s="8">
        <v>44691</v>
      </c>
      <c r="N157" s="9" t="s">
        <v>132</v>
      </c>
      <c r="P157">
        <v>1</v>
      </c>
      <c r="Q157" s="9"/>
      <c r="R157" s="9" t="s">
        <v>1838</v>
      </c>
      <c r="S157" s="9" t="s">
        <v>1839</v>
      </c>
      <c r="T157" s="9" t="s">
        <v>1845</v>
      </c>
      <c r="U157" s="9" t="s">
        <v>1840</v>
      </c>
      <c r="V157" s="9" t="s">
        <v>1838</v>
      </c>
      <c r="W157" s="9" t="s">
        <v>1842</v>
      </c>
      <c r="X157" s="9" t="s">
        <v>1838</v>
      </c>
      <c r="Y157" s="9" t="s">
        <v>1841</v>
      </c>
      <c r="Z157">
        <v>4842179.1619999995</v>
      </c>
      <c r="AA157">
        <v>12553041.036323847</v>
      </c>
      <c r="AB157" s="9" t="s">
        <v>1850</v>
      </c>
      <c r="AC157" s="9" t="s">
        <v>1843</v>
      </c>
    </row>
    <row r="158" spans="1:29">
      <c r="A158" s="9" t="s">
        <v>648</v>
      </c>
      <c r="B158" s="9" t="s">
        <v>131</v>
      </c>
      <c r="C158" s="9" t="s">
        <v>132</v>
      </c>
      <c r="D158" s="9" t="s">
        <v>58</v>
      </c>
      <c r="E158">
        <v>2022</v>
      </c>
      <c r="F158">
        <v>2155477</v>
      </c>
      <c r="G158">
        <v>9.7999999999999997E-3</v>
      </c>
      <c r="H158">
        <v>21123.67</v>
      </c>
      <c r="I158" s="9" t="s">
        <v>649</v>
      </c>
      <c r="J158" s="9" t="s">
        <v>650</v>
      </c>
      <c r="K158" s="9" t="s">
        <v>651</v>
      </c>
      <c r="L158">
        <v>2103822</v>
      </c>
      <c r="M158" s="8">
        <v>43877</v>
      </c>
      <c r="N158" s="9" t="s">
        <v>132</v>
      </c>
      <c r="O158">
        <v>9.7999999999999997E-3</v>
      </c>
      <c r="P158">
        <v>1</v>
      </c>
      <c r="Q158" s="9" t="s">
        <v>1823</v>
      </c>
      <c r="R158" s="9" t="s">
        <v>1838</v>
      </c>
      <c r="S158" s="9" t="s">
        <v>1839</v>
      </c>
      <c r="T158" s="9" t="s">
        <v>1838</v>
      </c>
      <c r="U158" s="9" t="s">
        <v>1840</v>
      </c>
      <c r="V158" s="9" t="s">
        <v>1838</v>
      </c>
      <c r="W158" s="9" t="s">
        <v>1838</v>
      </c>
      <c r="X158" s="9" t="s">
        <v>1838</v>
      </c>
      <c r="Y158" s="9" t="s">
        <v>1841</v>
      </c>
      <c r="Z158">
        <v>4842179.1619999995</v>
      </c>
      <c r="AA158">
        <v>12553041.036323847</v>
      </c>
      <c r="AB158" s="9" t="s">
        <v>1850</v>
      </c>
      <c r="AC158" s="9" t="s">
        <v>1838</v>
      </c>
    </row>
    <row r="159" spans="1:29">
      <c r="A159" s="9" t="s">
        <v>652</v>
      </c>
      <c r="B159" s="9" t="s">
        <v>131</v>
      </c>
      <c r="C159" s="9" t="s">
        <v>132</v>
      </c>
      <c r="D159" s="9" t="s">
        <v>51</v>
      </c>
      <c r="E159">
        <v>2024</v>
      </c>
      <c r="F159">
        <v>669944</v>
      </c>
      <c r="G159">
        <v>1.2800000000000001E-2</v>
      </c>
      <c r="H159">
        <v>8575.2800000000007</v>
      </c>
      <c r="I159" s="9" t="s">
        <v>653</v>
      </c>
      <c r="J159" s="9" t="s">
        <v>654</v>
      </c>
      <c r="K159" s="9" t="s">
        <v>99</v>
      </c>
      <c r="L159">
        <v>651123</v>
      </c>
      <c r="M159" s="8"/>
      <c r="N159" s="9" t="s">
        <v>132</v>
      </c>
      <c r="O159">
        <v>1.2800000000000001E-2</v>
      </c>
      <c r="P159">
        <v>1</v>
      </c>
      <c r="Q159" s="9" t="s">
        <v>1820</v>
      </c>
      <c r="R159" s="9" t="s">
        <v>1838</v>
      </c>
      <c r="S159" s="9" t="s">
        <v>1839</v>
      </c>
      <c r="T159" s="9" t="s">
        <v>1838</v>
      </c>
      <c r="U159" s="9" t="s">
        <v>1840</v>
      </c>
      <c r="V159" s="9" t="s">
        <v>1838</v>
      </c>
      <c r="W159" s="9" t="s">
        <v>1838</v>
      </c>
      <c r="X159" s="9"/>
      <c r="Y159" s="9" t="s">
        <v>1841</v>
      </c>
      <c r="Z159">
        <v>4842179.1619999995</v>
      </c>
      <c r="AA159">
        <v>12553041.036323847</v>
      </c>
      <c r="AB159" s="9" t="s">
        <v>1850</v>
      </c>
      <c r="AC159" s="9"/>
    </row>
    <row r="160" spans="1:29">
      <c r="A160" s="9" t="s">
        <v>655</v>
      </c>
      <c r="B160" s="9" t="s">
        <v>56</v>
      </c>
      <c r="C160" s="9" t="s">
        <v>57</v>
      </c>
      <c r="D160" s="9" t="s">
        <v>97</v>
      </c>
      <c r="E160">
        <v>2024</v>
      </c>
      <c r="F160">
        <v>1929515</v>
      </c>
      <c r="G160">
        <v>2.0400000000000001E-2</v>
      </c>
      <c r="H160">
        <v>39362.11</v>
      </c>
      <c r="I160" s="9" t="s">
        <v>656</v>
      </c>
      <c r="J160" s="9" t="s">
        <v>657</v>
      </c>
      <c r="K160" s="9" t="s">
        <v>404</v>
      </c>
      <c r="L160">
        <v>2317897</v>
      </c>
      <c r="M160" s="8">
        <v>45361</v>
      </c>
      <c r="N160" s="9" t="s">
        <v>57</v>
      </c>
      <c r="O160">
        <v>2.0400000000000001E-2</v>
      </c>
      <c r="P160">
        <v>1</v>
      </c>
      <c r="Q160" s="9" t="s">
        <v>1821</v>
      </c>
      <c r="R160" s="9" t="s">
        <v>1838</v>
      </c>
      <c r="S160" s="9" t="s">
        <v>1839</v>
      </c>
      <c r="T160" s="9" t="s">
        <v>1838</v>
      </c>
      <c r="U160" s="9" t="s">
        <v>1840</v>
      </c>
      <c r="V160" s="9" t="s">
        <v>1838</v>
      </c>
      <c r="W160" s="9" t="s">
        <v>1838</v>
      </c>
      <c r="X160" s="9" t="s">
        <v>1838</v>
      </c>
      <c r="Y160" s="9" t="s">
        <v>1841</v>
      </c>
      <c r="Z160">
        <v>4842179.1619999995</v>
      </c>
      <c r="AA160">
        <v>12553041.036323847</v>
      </c>
      <c r="AB160" s="9" t="s">
        <v>1850</v>
      </c>
      <c r="AC160" s="9" t="s">
        <v>1838</v>
      </c>
    </row>
    <row r="161" spans="1:29">
      <c r="A161" s="9" t="s">
        <v>658</v>
      </c>
      <c r="B161" s="9" t="s">
        <v>69</v>
      </c>
      <c r="C161" s="9" t="s">
        <v>70</v>
      </c>
      <c r="D161" s="9" t="s">
        <v>71</v>
      </c>
      <c r="E161">
        <v>2022</v>
      </c>
      <c r="F161">
        <v>7121134</v>
      </c>
      <c r="G161">
        <v>1.8599999999999998E-2</v>
      </c>
      <c r="H161">
        <v>132453.09</v>
      </c>
      <c r="I161" s="9" t="s">
        <v>659</v>
      </c>
      <c r="J161" s="9" t="s">
        <v>660</v>
      </c>
      <c r="K161" s="9" t="s">
        <v>334</v>
      </c>
      <c r="L161">
        <v>8005494</v>
      </c>
      <c r="M161" s="8">
        <v>45668</v>
      </c>
      <c r="N161" s="9" t="s">
        <v>70</v>
      </c>
      <c r="O161">
        <v>1.8599999999999998E-2</v>
      </c>
      <c r="P161">
        <v>1</v>
      </c>
      <c r="Q161" s="9" t="s">
        <v>1822</v>
      </c>
      <c r="R161" s="9" t="s">
        <v>1838</v>
      </c>
      <c r="S161" s="9" t="s">
        <v>1839</v>
      </c>
      <c r="T161" s="9" t="s">
        <v>1838</v>
      </c>
      <c r="U161" s="9" t="s">
        <v>1840</v>
      </c>
      <c r="V161" s="9" t="s">
        <v>1838</v>
      </c>
      <c r="W161" s="9" t="s">
        <v>1838</v>
      </c>
      <c r="X161" s="9" t="s">
        <v>1838</v>
      </c>
      <c r="Y161" s="9" t="s">
        <v>1841</v>
      </c>
      <c r="Z161">
        <v>4842179.1619999995</v>
      </c>
      <c r="AA161">
        <v>12553041.036323847</v>
      </c>
      <c r="AB161" s="9" t="s">
        <v>1850</v>
      </c>
      <c r="AC161" s="9" t="s">
        <v>1838</v>
      </c>
    </row>
    <row r="162" spans="1:29">
      <c r="A162" s="9" t="s">
        <v>661</v>
      </c>
      <c r="B162" s="9" t="s">
        <v>87</v>
      </c>
      <c r="C162" s="9" t="s">
        <v>88</v>
      </c>
      <c r="D162" s="9" t="s">
        <v>97</v>
      </c>
      <c r="E162">
        <v>2023</v>
      </c>
      <c r="F162">
        <v>1209568</v>
      </c>
      <c r="G162">
        <v>2.0500000000000001E-2</v>
      </c>
      <c r="H162">
        <v>24796.14</v>
      </c>
      <c r="I162" s="9" t="s">
        <v>662</v>
      </c>
      <c r="J162" s="9" t="s">
        <v>663</v>
      </c>
      <c r="K162" s="9" t="s">
        <v>664</v>
      </c>
      <c r="L162">
        <v>1272549</v>
      </c>
      <c r="M162" s="8">
        <v>44759</v>
      </c>
      <c r="N162" s="9" t="s">
        <v>88</v>
      </c>
      <c r="O162">
        <v>2.0500000000000001E-2</v>
      </c>
      <c r="P162">
        <v>1</v>
      </c>
      <c r="Q162" s="9" t="s">
        <v>1821</v>
      </c>
      <c r="R162" s="9" t="s">
        <v>1838</v>
      </c>
      <c r="S162" s="9" t="s">
        <v>1839</v>
      </c>
      <c r="T162" s="9" t="s">
        <v>1838</v>
      </c>
      <c r="U162" s="9" t="s">
        <v>1840</v>
      </c>
      <c r="V162" s="9" t="s">
        <v>1838</v>
      </c>
      <c r="W162" s="9" t="s">
        <v>1838</v>
      </c>
      <c r="X162" s="9" t="s">
        <v>1838</v>
      </c>
      <c r="Y162" s="9" t="s">
        <v>1841</v>
      </c>
      <c r="Z162">
        <v>4842179.1619999995</v>
      </c>
      <c r="AA162">
        <v>12553041.036323847</v>
      </c>
      <c r="AB162" s="9" t="s">
        <v>1850</v>
      </c>
      <c r="AC162" s="9" t="s">
        <v>1838</v>
      </c>
    </row>
    <row r="163" spans="1:29">
      <c r="A163" s="9" t="s">
        <v>665</v>
      </c>
      <c r="B163" s="9" t="s">
        <v>87</v>
      </c>
      <c r="C163" s="9" t="s">
        <v>88</v>
      </c>
      <c r="D163" s="9" t="s">
        <v>82</v>
      </c>
      <c r="E163">
        <v>2021</v>
      </c>
      <c r="F163">
        <v>5158657</v>
      </c>
      <c r="G163">
        <v>1.4800000000000001E-2</v>
      </c>
      <c r="H163">
        <v>76348.12</v>
      </c>
      <c r="I163" s="9" t="s">
        <v>666</v>
      </c>
      <c r="J163" s="9" t="s">
        <v>667</v>
      </c>
      <c r="K163" s="9" t="s">
        <v>668</v>
      </c>
      <c r="L163">
        <v>4944248</v>
      </c>
      <c r="M163" s="8">
        <v>43985</v>
      </c>
      <c r="N163" s="9" t="s">
        <v>88</v>
      </c>
      <c r="O163">
        <v>1.4800000000000001E-2</v>
      </c>
      <c r="P163">
        <v>1</v>
      </c>
      <c r="Q163" s="9" t="s">
        <v>1824</v>
      </c>
      <c r="R163" s="9" t="s">
        <v>1838</v>
      </c>
      <c r="S163" s="9" t="s">
        <v>1839</v>
      </c>
      <c r="T163" s="9" t="s">
        <v>1838</v>
      </c>
      <c r="U163" s="9" t="s">
        <v>1840</v>
      </c>
      <c r="V163" s="9" t="s">
        <v>1838</v>
      </c>
      <c r="W163" s="9" t="s">
        <v>1838</v>
      </c>
      <c r="X163" s="9" t="s">
        <v>1838</v>
      </c>
      <c r="Y163" s="9" t="s">
        <v>1841</v>
      </c>
      <c r="Z163">
        <v>4842179.1619999995</v>
      </c>
      <c r="AA163">
        <v>12553041.036323847</v>
      </c>
      <c r="AB163" s="9" t="s">
        <v>1850</v>
      </c>
      <c r="AC163" s="9" t="s">
        <v>1838</v>
      </c>
    </row>
    <row r="164" spans="1:29">
      <c r="A164" s="9" t="s">
        <v>669</v>
      </c>
      <c r="B164" s="9" t="s">
        <v>137</v>
      </c>
      <c r="C164" s="9" t="s">
        <v>138</v>
      </c>
      <c r="D164" s="9" t="s">
        <v>51</v>
      </c>
      <c r="E164">
        <v>2021</v>
      </c>
      <c r="F164">
        <v>659434</v>
      </c>
      <c r="G164">
        <v>1.2699999999999999E-2</v>
      </c>
      <c r="H164">
        <v>8524.81</v>
      </c>
      <c r="I164" s="9" t="s">
        <v>670</v>
      </c>
      <c r="J164" s="9" t="s">
        <v>671</v>
      </c>
      <c r="K164" s="9" t="s">
        <v>672</v>
      </c>
      <c r="L164">
        <v>629798</v>
      </c>
      <c r="M164" s="8">
        <v>43887</v>
      </c>
      <c r="N164" s="9" t="s">
        <v>138</v>
      </c>
      <c r="O164">
        <v>1.2699999999999999E-2</v>
      </c>
      <c r="P164">
        <v>1</v>
      </c>
      <c r="Q164" s="9" t="s">
        <v>1820</v>
      </c>
      <c r="R164" s="9" t="s">
        <v>1838</v>
      </c>
      <c r="S164" s="9" t="s">
        <v>1839</v>
      </c>
      <c r="T164" s="9" t="s">
        <v>1845</v>
      </c>
      <c r="U164" s="9" t="s">
        <v>1840</v>
      </c>
      <c r="V164" s="9" t="s">
        <v>1838</v>
      </c>
      <c r="W164" s="9" t="s">
        <v>1838</v>
      </c>
      <c r="X164" s="9" t="s">
        <v>1838</v>
      </c>
      <c r="Y164" s="9" t="s">
        <v>1841</v>
      </c>
      <c r="Z164">
        <v>4842179.1619999995</v>
      </c>
      <c r="AA164">
        <v>12553041.036323847</v>
      </c>
      <c r="AB164" s="9" t="s">
        <v>1850</v>
      </c>
      <c r="AC164" s="9" t="s">
        <v>1843</v>
      </c>
    </row>
    <row r="165" spans="1:29">
      <c r="A165" s="9" t="s">
        <v>673</v>
      </c>
      <c r="B165" s="9" t="s">
        <v>87</v>
      </c>
      <c r="C165" s="9" t="s">
        <v>88</v>
      </c>
      <c r="D165" s="9" t="s">
        <v>577</v>
      </c>
      <c r="E165">
        <v>2022</v>
      </c>
      <c r="F165">
        <v>975194</v>
      </c>
      <c r="G165">
        <v>1.2500000000000001E-2</v>
      </c>
      <c r="H165">
        <v>12189.93</v>
      </c>
      <c r="I165" s="9" t="s">
        <v>674</v>
      </c>
      <c r="J165" s="9" t="s">
        <v>675</v>
      </c>
      <c r="K165" s="9" t="s">
        <v>676</v>
      </c>
      <c r="L165">
        <v>1123522</v>
      </c>
      <c r="M165" s="8">
        <v>44577</v>
      </c>
      <c r="N165" s="9" t="s">
        <v>88</v>
      </c>
      <c r="P165">
        <v>1</v>
      </c>
      <c r="Q165" s="9"/>
      <c r="R165" s="9" t="s">
        <v>1838</v>
      </c>
      <c r="S165" s="9" t="s">
        <v>1839</v>
      </c>
      <c r="T165" s="9" t="s">
        <v>1845</v>
      </c>
      <c r="U165" s="9" t="s">
        <v>1840</v>
      </c>
      <c r="V165" s="9" t="s">
        <v>1838</v>
      </c>
      <c r="W165" s="9" t="s">
        <v>1842</v>
      </c>
      <c r="X165" s="9" t="s">
        <v>1838</v>
      </c>
      <c r="Y165" s="9" t="s">
        <v>1841</v>
      </c>
      <c r="Z165">
        <v>4842179.1619999995</v>
      </c>
      <c r="AA165">
        <v>12553041.036323847</v>
      </c>
      <c r="AB165" s="9" t="s">
        <v>1850</v>
      </c>
      <c r="AC165" s="9" t="s">
        <v>1843</v>
      </c>
    </row>
    <row r="166" spans="1:29">
      <c r="A166" s="9" t="s">
        <v>677</v>
      </c>
      <c r="B166" s="9" t="s">
        <v>678</v>
      </c>
      <c r="C166" s="9" t="s">
        <v>50</v>
      </c>
      <c r="D166" s="9" t="s">
        <v>82</v>
      </c>
      <c r="E166">
        <v>2023</v>
      </c>
      <c r="F166">
        <v>3388815</v>
      </c>
      <c r="G166">
        <v>1.44E-2</v>
      </c>
      <c r="H166">
        <v>48798.94</v>
      </c>
      <c r="I166" s="9" t="s">
        <v>679</v>
      </c>
      <c r="J166" s="9" t="s">
        <v>680</v>
      </c>
      <c r="K166" s="9" t="s">
        <v>681</v>
      </c>
      <c r="L166">
        <v>3059386</v>
      </c>
      <c r="M166" s="8">
        <v>44241</v>
      </c>
      <c r="N166" s="9"/>
      <c r="P166">
        <v>1</v>
      </c>
      <c r="Q166" s="9" t="s">
        <v>1824</v>
      </c>
      <c r="R166" s="9" t="s">
        <v>1842</v>
      </c>
      <c r="S166" s="9" t="s">
        <v>1845</v>
      </c>
      <c r="T166" s="9" t="s">
        <v>1845</v>
      </c>
      <c r="U166" s="9" t="s">
        <v>1840</v>
      </c>
      <c r="V166" s="9" t="s">
        <v>1838</v>
      </c>
      <c r="W166" s="9" t="s">
        <v>1838</v>
      </c>
      <c r="X166" s="9" t="s">
        <v>1838</v>
      </c>
      <c r="Y166" s="9" t="s">
        <v>1841</v>
      </c>
      <c r="Z166">
        <v>4842179.1619999995</v>
      </c>
      <c r="AA166">
        <v>12553041.036323847</v>
      </c>
      <c r="AB166" s="9" t="s">
        <v>1850</v>
      </c>
      <c r="AC166" s="9" t="s">
        <v>1843</v>
      </c>
    </row>
    <row r="167" spans="1:29">
      <c r="A167" s="9" t="s">
        <v>682</v>
      </c>
      <c r="B167" s="9" t="s">
        <v>137</v>
      </c>
      <c r="C167" s="9" t="s">
        <v>138</v>
      </c>
      <c r="D167" s="9" t="s">
        <v>82</v>
      </c>
      <c r="E167">
        <v>2023</v>
      </c>
      <c r="F167">
        <v>10114974</v>
      </c>
      <c r="G167">
        <v>1.4999999999999999E-2</v>
      </c>
      <c r="H167">
        <v>151724.60999999999</v>
      </c>
      <c r="I167" s="9" t="s">
        <v>683</v>
      </c>
      <c r="J167" s="9" t="s">
        <v>684</v>
      </c>
      <c r="K167" s="9" t="s">
        <v>217</v>
      </c>
      <c r="L167">
        <v>11354864</v>
      </c>
      <c r="M167" s="8">
        <v>45251</v>
      </c>
      <c r="N167" s="9" t="s">
        <v>138</v>
      </c>
      <c r="O167">
        <v>1.4999999999999999E-2</v>
      </c>
      <c r="P167">
        <v>1</v>
      </c>
      <c r="Q167" s="9" t="s">
        <v>1824</v>
      </c>
      <c r="R167" s="9" t="s">
        <v>1838</v>
      </c>
      <c r="S167" s="9" t="s">
        <v>1839</v>
      </c>
      <c r="T167" s="9" t="s">
        <v>1838</v>
      </c>
      <c r="U167" s="9" t="s">
        <v>1840</v>
      </c>
      <c r="V167" s="9" t="s">
        <v>1838</v>
      </c>
      <c r="W167" s="9" t="s">
        <v>1838</v>
      </c>
      <c r="X167" s="9" t="s">
        <v>1838</v>
      </c>
      <c r="Y167" s="9" t="s">
        <v>1841</v>
      </c>
      <c r="Z167">
        <v>4842179.1619999995</v>
      </c>
      <c r="AA167">
        <v>12553041.036323847</v>
      </c>
      <c r="AB167" s="9" t="s">
        <v>1850</v>
      </c>
      <c r="AC167" s="9" t="s">
        <v>1838</v>
      </c>
    </row>
    <row r="168" spans="1:29">
      <c r="A168" s="9" t="s">
        <v>685</v>
      </c>
      <c r="B168" s="9" t="s">
        <v>63</v>
      </c>
      <c r="C168" s="9" t="s">
        <v>64</v>
      </c>
      <c r="D168" s="9" t="s">
        <v>71</v>
      </c>
      <c r="E168">
        <v>2021</v>
      </c>
      <c r="F168">
        <v>7082254</v>
      </c>
      <c r="G168">
        <v>1.8499999999999999E-2</v>
      </c>
      <c r="H168">
        <v>131021.7</v>
      </c>
      <c r="I168" s="9" t="s">
        <v>686</v>
      </c>
      <c r="J168" s="9" t="s">
        <v>687</v>
      </c>
      <c r="K168" s="9" t="s">
        <v>688</v>
      </c>
      <c r="L168">
        <v>7397909</v>
      </c>
      <c r="M168" s="8">
        <v>44991</v>
      </c>
      <c r="N168" s="9" t="s">
        <v>64</v>
      </c>
      <c r="O168">
        <v>1.8499999999999999E-2</v>
      </c>
      <c r="P168">
        <v>1</v>
      </c>
      <c r="Q168" s="9" t="s">
        <v>1822</v>
      </c>
      <c r="R168" s="9" t="s">
        <v>1838</v>
      </c>
      <c r="S168" s="9" t="s">
        <v>1839</v>
      </c>
      <c r="T168" s="9" t="s">
        <v>1838</v>
      </c>
      <c r="U168" s="9" t="s">
        <v>1840</v>
      </c>
      <c r="V168" s="9" t="s">
        <v>1838</v>
      </c>
      <c r="W168" s="9" t="s">
        <v>1838</v>
      </c>
      <c r="X168" s="9" t="s">
        <v>1838</v>
      </c>
      <c r="Y168" s="9" t="s">
        <v>1841</v>
      </c>
      <c r="Z168">
        <v>4842179.1619999995</v>
      </c>
      <c r="AA168">
        <v>12553041.036323847</v>
      </c>
      <c r="AB168" s="9" t="s">
        <v>1850</v>
      </c>
      <c r="AC168" s="9" t="s">
        <v>1838</v>
      </c>
    </row>
    <row r="169" spans="1:29">
      <c r="A169" s="9" t="s">
        <v>689</v>
      </c>
      <c r="B169" s="9" t="s">
        <v>101</v>
      </c>
      <c r="C169" s="9" t="s">
        <v>102</v>
      </c>
      <c r="D169" s="9" t="s">
        <v>51</v>
      </c>
      <c r="E169">
        <v>2021</v>
      </c>
      <c r="F169">
        <v>775098</v>
      </c>
      <c r="G169">
        <v>1.29E-2</v>
      </c>
      <c r="H169">
        <v>9998.76</v>
      </c>
      <c r="I169" s="9" t="s">
        <v>690</v>
      </c>
      <c r="J169" s="9" t="s">
        <v>691</v>
      </c>
      <c r="K169" s="9" t="s">
        <v>692</v>
      </c>
      <c r="L169">
        <v>887684</v>
      </c>
      <c r="M169" s="8">
        <v>44802</v>
      </c>
      <c r="N169" s="9" t="s">
        <v>102</v>
      </c>
      <c r="O169">
        <v>1.29E-2</v>
      </c>
      <c r="P169">
        <v>1</v>
      </c>
      <c r="Q169" s="9" t="s">
        <v>1820</v>
      </c>
      <c r="R169" s="9" t="s">
        <v>1838</v>
      </c>
      <c r="S169" s="9" t="s">
        <v>1839</v>
      </c>
      <c r="T169" s="9" t="s">
        <v>1838</v>
      </c>
      <c r="U169" s="9" t="s">
        <v>1840</v>
      </c>
      <c r="V169" s="9" t="s">
        <v>1838</v>
      </c>
      <c r="W169" s="9" t="s">
        <v>1838</v>
      </c>
      <c r="X169" s="9" t="s">
        <v>1838</v>
      </c>
      <c r="Y169" s="9" t="s">
        <v>1841</v>
      </c>
      <c r="Z169">
        <v>4842179.1619999995</v>
      </c>
      <c r="AA169">
        <v>12553041.036323847</v>
      </c>
      <c r="AB169" s="9" t="s">
        <v>1850</v>
      </c>
      <c r="AC169" s="9" t="s">
        <v>1838</v>
      </c>
    </row>
    <row r="170" spans="1:29">
      <c r="A170" s="9" t="s">
        <v>693</v>
      </c>
      <c r="B170" s="9" t="s">
        <v>150</v>
      </c>
      <c r="C170" s="9" t="s">
        <v>151</v>
      </c>
      <c r="D170" s="9" t="s">
        <v>58</v>
      </c>
      <c r="E170">
        <v>2023</v>
      </c>
      <c r="F170">
        <v>1071686</v>
      </c>
      <c r="G170">
        <v>9.2999999999999992E-3</v>
      </c>
      <c r="H170">
        <v>9966.68</v>
      </c>
      <c r="I170" s="9" t="s">
        <v>694</v>
      </c>
      <c r="J170" s="9" t="s">
        <v>695</v>
      </c>
      <c r="K170" s="9" t="s">
        <v>350</v>
      </c>
      <c r="L170">
        <v>1080161</v>
      </c>
      <c r="M170" s="8">
        <v>44373</v>
      </c>
      <c r="N170" s="9" t="s">
        <v>151</v>
      </c>
      <c r="O170">
        <v>9.2999999999999992E-3</v>
      </c>
      <c r="P170">
        <v>1</v>
      </c>
      <c r="Q170" s="9" t="s">
        <v>1823</v>
      </c>
      <c r="R170" s="9" t="s">
        <v>1838</v>
      </c>
      <c r="S170" s="9" t="s">
        <v>1839</v>
      </c>
      <c r="T170" s="9" t="s">
        <v>1838</v>
      </c>
      <c r="U170" s="9" t="s">
        <v>1840</v>
      </c>
      <c r="V170" s="9" t="s">
        <v>1838</v>
      </c>
      <c r="W170" s="9" t="s">
        <v>1838</v>
      </c>
      <c r="X170" s="9" t="s">
        <v>1838</v>
      </c>
      <c r="Y170" s="9" t="s">
        <v>1841</v>
      </c>
      <c r="Z170">
        <v>4842179.1619999995</v>
      </c>
      <c r="AA170">
        <v>12553041.036323847</v>
      </c>
      <c r="AB170" s="9" t="s">
        <v>1850</v>
      </c>
      <c r="AC170" s="9" t="s">
        <v>1838</v>
      </c>
    </row>
    <row r="171" spans="1:29">
      <c r="A171" s="9" t="s">
        <v>696</v>
      </c>
      <c r="B171" s="9" t="s">
        <v>49</v>
      </c>
      <c r="C171" s="9" t="s">
        <v>50</v>
      </c>
      <c r="D171" s="9" t="s">
        <v>51</v>
      </c>
      <c r="E171">
        <v>2022</v>
      </c>
      <c r="F171">
        <v>1047863</v>
      </c>
      <c r="G171">
        <v>1.21E-2</v>
      </c>
      <c r="H171">
        <v>12679.14</v>
      </c>
      <c r="I171" s="9" t="s">
        <v>697</v>
      </c>
      <c r="J171" s="9" t="s">
        <v>698</v>
      </c>
      <c r="K171" s="9" t="s">
        <v>699</v>
      </c>
      <c r="L171">
        <v>1306409</v>
      </c>
      <c r="M171" s="8">
        <v>43593</v>
      </c>
      <c r="N171" s="9" t="s">
        <v>50</v>
      </c>
      <c r="O171">
        <v>1.21E-2</v>
      </c>
      <c r="P171">
        <v>1</v>
      </c>
      <c r="Q171" s="9" t="s">
        <v>1820</v>
      </c>
      <c r="R171" s="9" t="s">
        <v>1838</v>
      </c>
      <c r="S171" s="9" t="s">
        <v>1839</v>
      </c>
      <c r="T171" s="9" t="s">
        <v>1838</v>
      </c>
      <c r="U171" s="9" t="s">
        <v>1840</v>
      </c>
      <c r="V171" s="9" t="s">
        <v>1838</v>
      </c>
      <c r="W171" s="9" t="s">
        <v>1838</v>
      </c>
      <c r="X171" s="9" t="s">
        <v>1838</v>
      </c>
      <c r="Y171" s="9" t="s">
        <v>1841</v>
      </c>
      <c r="Z171">
        <v>4842179.1619999995</v>
      </c>
      <c r="AA171">
        <v>12553041.036323847</v>
      </c>
      <c r="AB171" s="9" t="s">
        <v>1850</v>
      </c>
      <c r="AC171" s="9" t="s">
        <v>1838</v>
      </c>
    </row>
    <row r="172" spans="1:29">
      <c r="A172" s="9" t="s">
        <v>700</v>
      </c>
      <c r="B172" s="9" t="s">
        <v>69</v>
      </c>
      <c r="C172" s="9" t="s">
        <v>70</v>
      </c>
      <c r="D172" s="9" t="s">
        <v>58</v>
      </c>
      <c r="E172">
        <v>2022</v>
      </c>
      <c r="F172">
        <v>741332</v>
      </c>
      <c r="G172">
        <v>9.5999999999999992E-3</v>
      </c>
      <c r="H172">
        <v>7116.79</v>
      </c>
      <c r="I172" s="9" t="s">
        <v>701</v>
      </c>
      <c r="J172" s="9" t="s">
        <v>702</v>
      </c>
      <c r="K172" s="9" t="s">
        <v>703</v>
      </c>
      <c r="L172">
        <v>901366</v>
      </c>
      <c r="M172" s="8">
        <v>45282</v>
      </c>
      <c r="N172" s="9" t="s">
        <v>70</v>
      </c>
      <c r="O172">
        <v>9.5999999999999992E-3</v>
      </c>
      <c r="P172">
        <v>1</v>
      </c>
      <c r="Q172" s="9" t="s">
        <v>1823</v>
      </c>
      <c r="R172" s="9" t="s">
        <v>1838</v>
      </c>
      <c r="S172" s="9" t="s">
        <v>1839</v>
      </c>
      <c r="T172" s="9" t="s">
        <v>1838</v>
      </c>
      <c r="U172" s="9" t="s">
        <v>1840</v>
      </c>
      <c r="V172" s="9" t="s">
        <v>1838</v>
      </c>
      <c r="W172" s="9" t="s">
        <v>1838</v>
      </c>
      <c r="X172" s="9" t="s">
        <v>1838</v>
      </c>
      <c r="Y172" s="9" t="s">
        <v>1841</v>
      </c>
      <c r="Z172">
        <v>4842179.1619999995</v>
      </c>
      <c r="AA172">
        <v>12553041.036323847</v>
      </c>
      <c r="AB172" s="9" t="s">
        <v>1850</v>
      </c>
      <c r="AC172" s="9" t="s">
        <v>1838</v>
      </c>
    </row>
    <row r="173" spans="1:29">
      <c r="A173" s="9" t="s">
        <v>704</v>
      </c>
      <c r="B173" s="9" t="s">
        <v>131</v>
      </c>
      <c r="C173" s="9" t="s">
        <v>132</v>
      </c>
      <c r="D173" s="9" t="s">
        <v>51</v>
      </c>
      <c r="E173">
        <v>2023</v>
      </c>
      <c r="F173">
        <v>497515</v>
      </c>
      <c r="G173">
        <v>1.2800000000000001E-2</v>
      </c>
      <c r="H173">
        <v>6368.19</v>
      </c>
      <c r="I173" s="9" t="s">
        <v>705</v>
      </c>
      <c r="J173" s="9" t="s">
        <v>706</v>
      </c>
      <c r="K173" s="9" t="s">
        <v>707</v>
      </c>
      <c r="L173">
        <v>496495</v>
      </c>
      <c r="M173" s="8">
        <v>45640</v>
      </c>
      <c r="N173" s="9" t="s">
        <v>132</v>
      </c>
      <c r="O173">
        <v>1.2800000000000001E-2</v>
      </c>
      <c r="P173">
        <v>1</v>
      </c>
      <c r="Q173" s="9" t="s">
        <v>1820</v>
      </c>
      <c r="R173" s="9" t="s">
        <v>1838</v>
      </c>
      <c r="S173" s="9" t="s">
        <v>1839</v>
      </c>
      <c r="T173" s="9" t="s">
        <v>1838</v>
      </c>
      <c r="U173" s="9" t="s">
        <v>1840</v>
      </c>
      <c r="V173" s="9" t="s">
        <v>1838</v>
      </c>
      <c r="W173" s="9" t="s">
        <v>1838</v>
      </c>
      <c r="X173" s="9" t="s">
        <v>1838</v>
      </c>
      <c r="Y173" s="9" t="s">
        <v>1841</v>
      </c>
      <c r="Z173">
        <v>4842179.1619999995</v>
      </c>
      <c r="AA173">
        <v>12553041.036323847</v>
      </c>
      <c r="AB173" s="9" t="s">
        <v>1850</v>
      </c>
      <c r="AC173" s="9" t="s">
        <v>1838</v>
      </c>
    </row>
    <row r="174" spans="1:29">
      <c r="A174" s="9" t="s">
        <v>708</v>
      </c>
      <c r="B174" s="9" t="s">
        <v>131</v>
      </c>
      <c r="C174" s="9" t="s">
        <v>132</v>
      </c>
      <c r="D174" s="9" t="s">
        <v>51</v>
      </c>
      <c r="E174">
        <v>2022</v>
      </c>
      <c r="F174">
        <v>887818</v>
      </c>
      <c r="G174">
        <v>1.2800000000000001E-2</v>
      </c>
      <c r="H174">
        <v>11364.07</v>
      </c>
      <c r="I174" s="9" t="s">
        <v>709</v>
      </c>
      <c r="J174" s="9" t="s">
        <v>550</v>
      </c>
      <c r="K174" s="9" t="s">
        <v>710</v>
      </c>
      <c r="L174">
        <v>948092</v>
      </c>
      <c r="M174" s="8">
        <v>45451</v>
      </c>
      <c r="N174" s="9" t="s">
        <v>132</v>
      </c>
      <c r="O174">
        <v>1.2800000000000001E-2</v>
      </c>
      <c r="P174">
        <v>1</v>
      </c>
      <c r="Q174" s="9" t="s">
        <v>1820</v>
      </c>
      <c r="R174" s="9" t="s">
        <v>1838</v>
      </c>
      <c r="S174" s="9" t="s">
        <v>1839</v>
      </c>
      <c r="T174" s="9" t="s">
        <v>1838</v>
      </c>
      <c r="U174" s="9" t="s">
        <v>1840</v>
      </c>
      <c r="V174" s="9" t="s">
        <v>1842</v>
      </c>
      <c r="W174" s="9" t="s">
        <v>1838</v>
      </c>
      <c r="X174" s="9" t="s">
        <v>1838</v>
      </c>
      <c r="Y174" s="9" t="s">
        <v>1841</v>
      </c>
      <c r="Z174">
        <v>4842179.1619999995</v>
      </c>
      <c r="AA174">
        <v>12553041.036323847</v>
      </c>
      <c r="AB174" s="9" t="s">
        <v>1850</v>
      </c>
      <c r="AC174" s="9" t="s">
        <v>1843</v>
      </c>
    </row>
    <row r="175" spans="1:29">
      <c r="A175" s="9" t="s">
        <v>711</v>
      </c>
      <c r="B175" s="9" t="s">
        <v>150</v>
      </c>
      <c r="C175" s="9" t="s">
        <v>151</v>
      </c>
      <c r="D175" s="9" t="s">
        <v>82</v>
      </c>
      <c r="E175">
        <v>2023</v>
      </c>
      <c r="F175">
        <v>5916215</v>
      </c>
      <c r="G175">
        <v>1.46E-2</v>
      </c>
      <c r="H175">
        <v>86376.74</v>
      </c>
      <c r="I175" s="9" t="s">
        <v>712</v>
      </c>
      <c r="J175" s="9" t="s">
        <v>713</v>
      </c>
      <c r="K175" s="9" t="s">
        <v>105</v>
      </c>
      <c r="L175">
        <v>6429691</v>
      </c>
      <c r="M175" s="8"/>
      <c r="N175" s="9" t="s">
        <v>151</v>
      </c>
      <c r="O175">
        <v>1.46E-2</v>
      </c>
      <c r="P175">
        <v>1</v>
      </c>
      <c r="Q175" s="9" t="s">
        <v>1824</v>
      </c>
      <c r="R175" s="9" t="s">
        <v>1838</v>
      </c>
      <c r="S175" s="9" t="s">
        <v>1839</v>
      </c>
      <c r="T175" s="9" t="s">
        <v>1838</v>
      </c>
      <c r="U175" s="9" t="s">
        <v>1840</v>
      </c>
      <c r="V175" s="9" t="s">
        <v>1838</v>
      </c>
      <c r="W175" s="9" t="s">
        <v>1838</v>
      </c>
      <c r="X175" s="9"/>
      <c r="Y175" s="9" t="s">
        <v>1841</v>
      </c>
      <c r="Z175">
        <v>4842179.1619999995</v>
      </c>
      <c r="AA175">
        <v>12553041.036323847</v>
      </c>
      <c r="AB175" s="9" t="s">
        <v>1850</v>
      </c>
      <c r="AC175" s="9"/>
    </row>
    <row r="176" spans="1:29">
      <c r="A176" s="9" t="s">
        <v>714</v>
      </c>
      <c r="B176" s="9" t="s">
        <v>63</v>
      </c>
      <c r="C176" s="9" t="s">
        <v>64</v>
      </c>
      <c r="D176" s="9" t="s">
        <v>97</v>
      </c>
      <c r="E176">
        <v>2024</v>
      </c>
      <c r="F176">
        <v>2104490</v>
      </c>
      <c r="G176">
        <v>2.0500000000000001E-2</v>
      </c>
      <c r="H176">
        <v>43142.04</v>
      </c>
      <c r="I176" s="9" t="s">
        <v>715</v>
      </c>
      <c r="J176" s="9" t="s">
        <v>716</v>
      </c>
      <c r="K176" s="9" t="s">
        <v>186</v>
      </c>
      <c r="L176">
        <v>2293355</v>
      </c>
      <c r="M176" s="8">
        <v>44556</v>
      </c>
      <c r="N176" s="9" t="s">
        <v>64</v>
      </c>
      <c r="O176">
        <v>2.0500000000000001E-2</v>
      </c>
      <c r="P176">
        <v>1</v>
      </c>
      <c r="Q176" s="9" t="s">
        <v>1821</v>
      </c>
      <c r="R176" s="9" t="s">
        <v>1838</v>
      </c>
      <c r="S176" s="9" t="s">
        <v>1839</v>
      </c>
      <c r="T176" s="9" t="s">
        <v>1838</v>
      </c>
      <c r="U176" s="9" t="s">
        <v>1840</v>
      </c>
      <c r="V176" s="9" t="s">
        <v>1838</v>
      </c>
      <c r="W176" s="9" t="s">
        <v>1838</v>
      </c>
      <c r="X176" s="9" t="s">
        <v>1838</v>
      </c>
      <c r="Y176" s="9" t="s">
        <v>1841</v>
      </c>
      <c r="Z176">
        <v>4842179.1619999995</v>
      </c>
      <c r="AA176">
        <v>12553041.036323847</v>
      </c>
      <c r="AB176" s="9" t="s">
        <v>1850</v>
      </c>
      <c r="AC176" s="9" t="s">
        <v>1838</v>
      </c>
    </row>
    <row r="177" spans="1:29">
      <c r="A177" s="9" t="s">
        <v>717</v>
      </c>
      <c r="B177" s="9" t="s">
        <v>101</v>
      </c>
      <c r="C177" s="9" t="s">
        <v>102</v>
      </c>
      <c r="D177" s="9" t="s">
        <v>51</v>
      </c>
      <c r="E177">
        <v>2021</v>
      </c>
      <c r="F177">
        <v>417583</v>
      </c>
      <c r="G177">
        <v>1.29E-2</v>
      </c>
      <c r="H177">
        <v>5386.82</v>
      </c>
      <c r="I177" s="9" t="s">
        <v>718</v>
      </c>
      <c r="J177" s="9" t="s">
        <v>719</v>
      </c>
      <c r="K177" s="9" t="s">
        <v>302</v>
      </c>
      <c r="L177">
        <v>384529</v>
      </c>
      <c r="M177" s="8">
        <v>44071</v>
      </c>
      <c r="N177" s="9" t="s">
        <v>102</v>
      </c>
      <c r="O177">
        <v>1.29E-2</v>
      </c>
      <c r="P177">
        <v>1</v>
      </c>
      <c r="Q177" s="9" t="s">
        <v>1820</v>
      </c>
      <c r="R177" s="9" t="s">
        <v>1838</v>
      </c>
      <c r="S177" s="9" t="s">
        <v>1839</v>
      </c>
      <c r="T177" s="9" t="s">
        <v>1838</v>
      </c>
      <c r="U177" s="9" t="s">
        <v>1840</v>
      </c>
      <c r="V177" s="9" t="s">
        <v>1838</v>
      </c>
      <c r="W177" s="9" t="s">
        <v>1838</v>
      </c>
      <c r="X177" s="9" t="s">
        <v>1838</v>
      </c>
      <c r="Y177" s="9" t="s">
        <v>1841</v>
      </c>
      <c r="Z177">
        <v>4842179.1619999995</v>
      </c>
      <c r="AA177">
        <v>12553041.036323847</v>
      </c>
      <c r="AB177" s="9" t="s">
        <v>1850</v>
      </c>
      <c r="AC177" s="9" t="s">
        <v>1838</v>
      </c>
    </row>
    <row r="178" spans="1:29">
      <c r="A178" s="9" t="s">
        <v>720</v>
      </c>
      <c r="B178" s="9" t="s">
        <v>87</v>
      </c>
      <c r="C178" s="9" t="s">
        <v>88</v>
      </c>
      <c r="D178" s="9" t="s">
        <v>97</v>
      </c>
      <c r="E178">
        <v>2021</v>
      </c>
      <c r="F178">
        <v>4099798</v>
      </c>
      <c r="G178">
        <v>2.0500000000000001E-2</v>
      </c>
      <c r="H178">
        <v>84045.86</v>
      </c>
      <c r="I178" s="9" t="s">
        <v>721</v>
      </c>
      <c r="J178" s="9" t="s">
        <v>722</v>
      </c>
      <c r="K178" s="9" t="s">
        <v>723</v>
      </c>
      <c r="L178">
        <v>4607120</v>
      </c>
      <c r="M178" s="8">
        <v>45461</v>
      </c>
      <c r="N178" s="9" t="s">
        <v>88</v>
      </c>
      <c r="O178">
        <v>2.0500000000000001E-2</v>
      </c>
      <c r="P178">
        <v>1</v>
      </c>
      <c r="Q178" s="9" t="s">
        <v>1821</v>
      </c>
      <c r="R178" s="9" t="s">
        <v>1838</v>
      </c>
      <c r="S178" s="9" t="s">
        <v>1839</v>
      </c>
      <c r="T178" s="9" t="s">
        <v>1838</v>
      </c>
      <c r="U178" s="9" t="s">
        <v>1840</v>
      </c>
      <c r="V178" s="9" t="s">
        <v>1838</v>
      </c>
      <c r="W178" s="9" t="s">
        <v>1838</v>
      </c>
      <c r="X178" s="9" t="s">
        <v>1838</v>
      </c>
      <c r="Y178" s="9" t="s">
        <v>1841</v>
      </c>
      <c r="Z178">
        <v>4842179.1619999995</v>
      </c>
      <c r="AA178">
        <v>12553041.036323847</v>
      </c>
      <c r="AB178" s="9" t="s">
        <v>1850</v>
      </c>
      <c r="AC178" s="9" t="s">
        <v>1838</v>
      </c>
    </row>
    <row r="179" spans="1:29">
      <c r="A179" s="9" t="s">
        <v>724</v>
      </c>
      <c r="B179" s="9" t="s">
        <v>150</v>
      </c>
      <c r="C179" s="9" t="s">
        <v>151</v>
      </c>
      <c r="D179" s="9" t="s">
        <v>97</v>
      </c>
      <c r="E179">
        <v>2023</v>
      </c>
      <c r="F179">
        <v>1722944</v>
      </c>
      <c r="G179">
        <v>2.0299999999999999E-2</v>
      </c>
      <c r="H179">
        <v>34975.760000000002</v>
      </c>
      <c r="I179" s="9" t="s">
        <v>725</v>
      </c>
      <c r="J179" s="9" t="s">
        <v>726</v>
      </c>
      <c r="K179" s="9" t="s">
        <v>377</v>
      </c>
      <c r="L179">
        <v>2038385</v>
      </c>
      <c r="M179" s="8">
        <v>45083</v>
      </c>
      <c r="N179" s="9" t="s">
        <v>151</v>
      </c>
      <c r="O179">
        <v>2.0299999999999999E-2</v>
      </c>
      <c r="P179">
        <v>1</v>
      </c>
      <c r="Q179" s="9" t="s">
        <v>1821</v>
      </c>
      <c r="R179" s="9" t="s">
        <v>1838</v>
      </c>
      <c r="S179" s="9" t="s">
        <v>1839</v>
      </c>
      <c r="T179" s="9" t="s">
        <v>1838</v>
      </c>
      <c r="U179" s="9" t="s">
        <v>1840</v>
      </c>
      <c r="V179" s="9" t="s">
        <v>1838</v>
      </c>
      <c r="W179" s="9" t="s">
        <v>1838</v>
      </c>
      <c r="X179" s="9" t="s">
        <v>1838</v>
      </c>
      <c r="Y179" s="9" t="s">
        <v>1841</v>
      </c>
      <c r="Z179">
        <v>4842179.1619999995</v>
      </c>
      <c r="AA179">
        <v>12553041.036323847</v>
      </c>
      <c r="AB179" s="9" t="s">
        <v>1850</v>
      </c>
      <c r="AC179" s="9" t="s">
        <v>1838</v>
      </c>
    </row>
    <row r="180" spans="1:29">
      <c r="A180" s="9" t="s">
        <v>727</v>
      </c>
      <c r="B180" s="9" t="s">
        <v>76</v>
      </c>
      <c r="C180" s="9" t="s">
        <v>77</v>
      </c>
      <c r="D180" s="9" t="s">
        <v>82</v>
      </c>
      <c r="E180">
        <v>2021</v>
      </c>
      <c r="F180">
        <v>14112178</v>
      </c>
      <c r="G180">
        <v>1.47E-2</v>
      </c>
      <c r="H180">
        <v>207449.02</v>
      </c>
      <c r="I180" s="9" t="s">
        <v>728</v>
      </c>
      <c r="J180" s="9" t="s">
        <v>729</v>
      </c>
      <c r="K180" s="9" t="s">
        <v>396</v>
      </c>
      <c r="M180" s="8">
        <v>44517</v>
      </c>
      <c r="N180" s="9" t="s">
        <v>77</v>
      </c>
      <c r="O180">
        <v>1.47E-2</v>
      </c>
      <c r="P180">
        <v>1</v>
      </c>
      <c r="Q180" s="9" t="s">
        <v>1824</v>
      </c>
      <c r="R180" s="9" t="s">
        <v>1838</v>
      </c>
      <c r="S180" s="9" t="s">
        <v>1839</v>
      </c>
      <c r="T180" s="9" t="s">
        <v>1838</v>
      </c>
      <c r="U180" s="9" t="s">
        <v>1840</v>
      </c>
      <c r="V180" s="9" t="s">
        <v>1838</v>
      </c>
      <c r="W180" s="9" t="s">
        <v>1838</v>
      </c>
      <c r="X180" s="9" t="s">
        <v>1838</v>
      </c>
      <c r="Y180" s="9" t="s">
        <v>1841</v>
      </c>
      <c r="Z180">
        <v>4842179.1619999995</v>
      </c>
      <c r="AA180">
        <v>12553041.036323847</v>
      </c>
      <c r="AB180" s="9" t="s">
        <v>1850</v>
      </c>
      <c r="AC180" s="9" t="s">
        <v>1838</v>
      </c>
    </row>
    <row r="181" spans="1:29">
      <c r="A181" s="9" t="s">
        <v>730</v>
      </c>
      <c r="B181" s="9" t="s">
        <v>49</v>
      </c>
      <c r="C181" s="9" t="s">
        <v>50</v>
      </c>
      <c r="D181" s="9" t="s">
        <v>51</v>
      </c>
      <c r="E181">
        <v>2021</v>
      </c>
      <c r="F181">
        <v>692261</v>
      </c>
      <c r="G181">
        <v>1.21E-2</v>
      </c>
      <c r="H181">
        <v>8456.36</v>
      </c>
      <c r="I181" s="9" t="s">
        <v>731</v>
      </c>
      <c r="J181" s="9" t="s">
        <v>732</v>
      </c>
      <c r="K181" s="9" t="s">
        <v>448</v>
      </c>
      <c r="L181">
        <v>732378</v>
      </c>
      <c r="M181" s="8">
        <v>43602</v>
      </c>
      <c r="N181" s="9" t="s">
        <v>50</v>
      </c>
      <c r="O181">
        <v>1.21E-2</v>
      </c>
      <c r="P181">
        <v>1</v>
      </c>
      <c r="Q181" s="9" t="s">
        <v>1820</v>
      </c>
      <c r="R181" s="9" t="s">
        <v>1838</v>
      </c>
      <c r="S181" s="9" t="s">
        <v>1839</v>
      </c>
      <c r="T181" s="9" t="s">
        <v>1845</v>
      </c>
      <c r="U181" s="9" t="s">
        <v>1840</v>
      </c>
      <c r="V181" s="9" t="s">
        <v>1838</v>
      </c>
      <c r="W181" s="9" t="s">
        <v>1838</v>
      </c>
      <c r="X181" s="9" t="s">
        <v>1838</v>
      </c>
      <c r="Y181" s="9" t="s">
        <v>1841</v>
      </c>
      <c r="Z181">
        <v>4842179.1619999995</v>
      </c>
      <c r="AA181">
        <v>12553041.036323847</v>
      </c>
      <c r="AB181" s="9" t="s">
        <v>1850</v>
      </c>
      <c r="AC181" s="9" t="s">
        <v>1843</v>
      </c>
    </row>
    <row r="182" spans="1:29">
      <c r="A182" s="9" t="s">
        <v>733</v>
      </c>
      <c r="B182" s="9" t="s">
        <v>137</v>
      </c>
      <c r="C182" s="9" t="s">
        <v>138</v>
      </c>
      <c r="D182" s="9" t="s">
        <v>51</v>
      </c>
      <c r="E182">
        <v>2023</v>
      </c>
      <c r="F182">
        <v>611336</v>
      </c>
      <c r="G182">
        <v>1.2699999999999999E-2</v>
      </c>
      <c r="H182">
        <v>7763.97</v>
      </c>
      <c r="I182" s="9" t="s">
        <v>734</v>
      </c>
      <c r="J182" s="9" t="s">
        <v>735</v>
      </c>
      <c r="K182" s="9" t="s">
        <v>692</v>
      </c>
      <c r="L182">
        <v>700944</v>
      </c>
      <c r="M182" s="8">
        <v>44714</v>
      </c>
      <c r="N182" s="9" t="s">
        <v>138</v>
      </c>
      <c r="O182">
        <v>1.2699999999999999E-2</v>
      </c>
      <c r="P182">
        <v>1</v>
      </c>
      <c r="Q182" s="9" t="s">
        <v>1820</v>
      </c>
      <c r="R182" s="9" t="s">
        <v>1838</v>
      </c>
      <c r="S182" s="9" t="s">
        <v>1839</v>
      </c>
      <c r="T182" s="9" t="s">
        <v>1838</v>
      </c>
      <c r="U182" s="9" t="s">
        <v>1840</v>
      </c>
      <c r="V182" s="9" t="s">
        <v>1838</v>
      </c>
      <c r="W182" s="9" t="s">
        <v>1838</v>
      </c>
      <c r="X182" s="9" t="s">
        <v>1838</v>
      </c>
      <c r="Y182" s="9" t="s">
        <v>1841</v>
      </c>
      <c r="Z182">
        <v>4842179.1619999995</v>
      </c>
      <c r="AA182">
        <v>12553041.036323847</v>
      </c>
      <c r="AB182" s="9" t="s">
        <v>1850</v>
      </c>
      <c r="AC182" s="9" t="s">
        <v>1838</v>
      </c>
    </row>
    <row r="183" spans="1:29">
      <c r="A183" s="9" t="s">
        <v>736</v>
      </c>
      <c r="B183" s="9" t="s">
        <v>131</v>
      </c>
      <c r="C183" s="9" t="s">
        <v>132</v>
      </c>
      <c r="D183" s="9" t="s">
        <v>82</v>
      </c>
      <c r="E183">
        <v>2024</v>
      </c>
      <c r="F183">
        <v>3784256</v>
      </c>
      <c r="G183">
        <v>1.5100000000000001E-2</v>
      </c>
      <c r="H183">
        <v>57142.27</v>
      </c>
      <c r="I183" s="9" t="s">
        <v>737</v>
      </c>
      <c r="J183" s="9" t="s">
        <v>738</v>
      </c>
      <c r="K183" s="9" t="s">
        <v>739</v>
      </c>
      <c r="L183">
        <v>4133853</v>
      </c>
      <c r="M183" s="8">
        <v>45202</v>
      </c>
      <c r="N183" s="9" t="s">
        <v>132</v>
      </c>
      <c r="O183">
        <v>1.5100000000000001E-2</v>
      </c>
      <c r="P183">
        <v>1</v>
      </c>
      <c r="Q183" s="9" t="s">
        <v>1824</v>
      </c>
      <c r="R183" s="9" t="s">
        <v>1838</v>
      </c>
      <c r="S183" s="9" t="s">
        <v>1839</v>
      </c>
      <c r="T183" s="9" t="s">
        <v>1838</v>
      </c>
      <c r="U183" s="9" t="s">
        <v>1840</v>
      </c>
      <c r="V183" s="9" t="s">
        <v>1838</v>
      </c>
      <c r="W183" s="9" t="s">
        <v>1838</v>
      </c>
      <c r="X183" s="9" t="s">
        <v>1838</v>
      </c>
      <c r="Y183" s="9" t="s">
        <v>1841</v>
      </c>
      <c r="Z183">
        <v>4842179.1619999995</v>
      </c>
      <c r="AA183">
        <v>12553041.036323847</v>
      </c>
      <c r="AB183" s="9" t="s">
        <v>1850</v>
      </c>
      <c r="AC183" s="9" t="s">
        <v>1838</v>
      </c>
    </row>
    <row r="184" spans="1:29">
      <c r="A184" s="9" t="s">
        <v>740</v>
      </c>
      <c r="B184" s="9" t="s">
        <v>131</v>
      </c>
      <c r="C184" s="9" t="s">
        <v>132</v>
      </c>
      <c r="D184" s="9" t="s">
        <v>51</v>
      </c>
      <c r="E184">
        <v>2023</v>
      </c>
      <c r="F184">
        <v>293678</v>
      </c>
      <c r="G184">
        <v>1.2800000000000001E-2</v>
      </c>
      <c r="H184">
        <v>3759.08</v>
      </c>
      <c r="I184" s="9" t="s">
        <v>741</v>
      </c>
      <c r="J184" s="9" t="s">
        <v>742</v>
      </c>
      <c r="K184" s="9" t="s">
        <v>252</v>
      </c>
      <c r="L184">
        <v>356292</v>
      </c>
      <c r="M184" s="8">
        <v>44373</v>
      </c>
      <c r="N184" s="9" t="s">
        <v>132</v>
      </c>
      <c r="O184">
        <v>1.2800000000000001E-2</v>
      </c>
      <c r="P184">
        <v>1</v>
      </c>
      <c r="Q184" s="9" t="s">
        <v>1820</v>
      </c>
      <c r="R184" s="9" t="s">
        <v>1838</v>
      </c>
      <c r="S184" s="9" t="s">
        <v>1839</v>
      </c>
      <c r="T184" s="9" t="s">
        <v>1838</v>
      </c>
      <c r="U184" s="9" t="s">
        <v>1840</v>
      </c>
      <c r="V184" s="9" t="s">
        <v>1838</v>
      </c>
      <c r="W184" s="9" t="s">
        <v>1838</v>
      </c>
      <c r="X184" s="9" t="s">
        <v>1838</v>
      </c>
      <c r="Y184" s="9" t="s">
        <v>1841</v>
      </c>
      <c r="Z184">
        <v>4842179.1619999995</v>
      </c>
      <c r="AA184">
        <v>12553041.036323847</v>
      </c>
      <c r="AB184" s="9" t="s">
        <v>1850</v>
      </c>
      <c r="AC184" s="9" t="s">
        <v>1838</v>
      </c>
    </row>
    <row r="185" spans="1:29">
      <c r="A185" s="9" t="s">
        <v>743</v>
      </c>
      <c r="B185" s="9" t="s">
        <v>49</v>
      </c>
      <c r="C185" s="9" t="s">
        <v>50</v>
      </c>
      <c r="D185" s="9" t="s">
        <v>82</v>
      </c>
      <c r="E185">
        <v>2024</v>
      </c>
      <c r="F185">
        <v>4045827</v>
      </c>
      <c r="G185">
        <v>1.44E-2</v>
      </c>
      <c r="H185">
        <v>58259.91</v>
      </c>
      <c r="I185" s="9" t="s">
        <v>744</v>
      </c>
      <c r="J185" s="9" t="s">
        <v>745</v>
      </c>
      <c r="K185" s="9" t="s">
        <v>647</v>
      </c>
      <c r="L185">
        <v>4587359</v>
      </c>
      <c r="M185" s="8">
        <v>45305</v>
      </c>
      <c r="N185" s="9" t="s">
        <v>50</v>
      </c>
      <c r="O185">
        <v>1.44E-2</v>
      </c>
      <c r="P185">
        <v>1</v>
      </c>
      <c r="Q185" s="9" t="s">
        <v>1824</v>
      </c>
      <c r="R185" s="9" t="s">
        <v>1838</v>
      </c>
      <c r="S185" s="9" t="s">
        <v>1839</v>
      </c>
      <c r="T185" s="9" t="s">
        <v>1838</v>
      </c>
      <c r="U185" s="9" t="s">
        <v>1840</v>
      </c>
      <c r="V185" s="9" t="s">
        <v>1838</v>
      </c>
      <c r="W185" s="9" t="s">
        <v>1838</v>
      </c>
      <c r="X185" s="9" t="s">
        <v>1838</v>
      </c>
      <c r="Y185" s="9" t="s">
        <v>1841</v>
      </c>
      <c r="Z185">
        <v>4842179.1619999995</v>
      </c>
      <c r="AA185">
        <v>12553041.036323847</v>
      </c>
      <c r="AB185" s="9" t="s">
        <v>1850</v>
      </c>
      <c r="AC185" s="9" t="s">
        <v>1838</v>
      </c>
    </row>
    <row r="186" spans="1:29">
      <c r="A186" s="9" t="s">
        <v>746</v>
      </c>
      <c r="B186" s="9" t="s">
        <v>69</v>
      </c>
      <c r="C186" s="9" t="s">
        <v>70</v>
      </c>
      <c r="D186" s="9" t="s">
        <v>82</v>
      </c>
      <c r="E186">
        <v>2022</v>
      </c>
      <c r="F186">
        <v>7676576</v>
      </c>
      <c r="G186">
        <v>1.49E-2</v>
      </c>
      <c r="H186">
        <v>114380.98</v>
      </c>
      <c r="I186" s="9" t="s">
        <v>747</v>
      </c>
      <c r="J186" s="9" t="s">
        <v>748</v>
      </c>
      <c r="K186" s="9" t="s">
        <v>749</v>
      </c>
      <c r="L186">
        <v>8443673</v>
      </c>
      <c r="M186" s="8">
        <v>45582</v>
      </c>
      <c r="N186" s="9" t="s">
        <v>70</v>
      </c>
      <c r="O186">
        <v>1.49E-2</v>
      </c>
      <c r="P186">
        <v>1</v>
      </c>
      <c r="Q186" s="9" t="s">
        <v>1824</v>
      </c>
      <c r="R186" s="9" t="s">
        <v>1838</v>
      </c>
      <c r="S186" s="9" t="s">
        <v>1839</v>
      </c>
      <c r="T186" s="9" t="s">
        <v>1838</v>
      </c>
      <c r="U186" s="9" t="s">
        <v>1840</v>
      </c>
      <c r="V186" s="9" t="s">
        <v>1838</v>
      </c>
      <c r="W186" s="9" t="s">
        <v>1838</v>
      </c>
      <c r="X186" s="9" t="s">
        <v>1838</v>
      </c>
      <c r="Y186" s="9" t="s">
        <v>1841</v>
      </c>
      <c r="Z186">
        <v>4842179.1619999995</v>
      </c>
      <c r="AA186">
        <v>12553041.036323847</v>
      </c>
      <c r="AB186" s="9" t="s">
        <v>1850</v>
      </c>
      <c r="AC186" s="9" t="s">
        <v>1838</v>
      </c>
    </row>
    <row r="187" spans="1:29">
      <c r="A187" s="9" t="s">
        <v>750</v>
      </c>
      <c r="B187" s="9" t="s">
        <v>87</v>
      </c>
      <c r="C187" s="9" t="s">
        <v>88</v>
      </c>
      <c r="D187" s="9" t="s">
        <v>82</v>
      </c>
      <c r="E187">
        <v>2022</v>
      </c>
      <c r="F187">
        <v>3398716</v>
      </c>
      <c r="G187">
        <v>1.4800000000000001E-2</v>
      </c>
      <c r="H187">
        <v>50301</v>
      </c>
      <c r="I187" s="9" t="s">
        <v>751</v>
      </c>
      <c r="J187" s="9" t="s">
        <v>752</v>
      </c>
      <c r="K187" s="9" t="s">
        <v>753</v>
      </c>
      <c r="L187">
        <v>4051058</v>
      </c>
      <c r="M187" s="8">
        <v>44522</v>
      </c>
      <c r="N187" s="9" t="s">
        <v>88</v>
      </c>
      <c r="O187">
        <v>1.4800000000000001E-2</v>
      </c>
      <c r="P187">
        <v>1</v>
      </c>
      <c r="Q187" s="9" t="s">
        <v>1824</v>
      </c>
      <c r="R187" s="9" t="s">
        <v>1838</v>
      </c>
      <c r="S187" s="9" t="s">
        <v>1839</v>
      </c>
      <c r="T187" s="9" t="s">
        <v>1838</v>
      </c>
      <c r="U187" s="9" t="s">
        <v>1840</v>
      </c>
      <c r="V187" s="9" t="s">
        <v>1838</v>
      </c>
      <c r="W187" s="9" t="s">
        <v>1838</v>
      </c>
      <c r="X187" s="9" t="s">
        <v>1838</v>
      </c>
      <c r="Y187" s="9" t="s">
        <v>1841</v>
      </c>
      <c r="Z187">
        <v>4842179.1619999995</v>
      </c>
      <c r="AA187">
        <v>12553041.036323847</v>
      </c>
      <c r="AB187" s="9" t="s">
        <v>1850</v>
      </c>
      <c r="AC187" s="9" t="s">
        <v>1838</v>
      </c>
    </row>
    <row r="188" spans="1:29">
      <c r="A188" s="9" t="s">
        <v>754</v>
      </c>
      <c r="B188" s="9" t="s">
        <v>150</v>
      </c>
      <c r="C188" s="9" t="s">
        <v>151</v>
      </c>
      <c r="D188" s="9" t="s">
        <v>51</v>
      </c>
      <c r="E188">
        <v>2021</v>
      </c>
      <c r="F188">
        <v>693685</v>
      </c>
      <c r="G188">
        <v>1.23E-2</v>
      </c>
      <c r="H188">
        <v>8532.33</v>
      </c>
      <c r="I188" s="9" t="s">
        <v>755</v>
      </c>
      <c r="J188" s="9" t="s">
        <v>756</v>
      </c>
      <c r="K188" s="9" t="s">
        <v>757</v>
      </c>
      <c r="L188">
        <v>649964</v>
      </c>
      <c r="M188" s="8">
        <v>43879</v>
      </c>
      <c r="N188" s="9" t="s">
        <v>151</v>
      </c>
      <c r="O188">
        <v>1.23E-2</v>
      </c>
      <c r="P188">
        <v>1</v>
      </c>
      <c r="Q188" s="9" t="s">
        <v>1820</v>
      </c>
      <c r="R188" s="9" t="s">
        <v>1838</v>
      </c>
      <c r="S188" s="9" t="s">
        <v>1839</v>
      </c>
      <c r="T188" s="9" t="s">
        <v>1838</v>
      </c>
      <c r="U188" s="9" t="s">
        <v>1840</v>
      </c>
      <c r="V188" s="9" t="s">
        <v>1838</v>
      </c>
      <c r="W188" s="9" t="s">
        <v>1838</v>
      </c>
      <c r="X188" s="9" t="s">
        <v>1838</v>
      </c>
      <c r="Y188" s="9" t="s">
        <v>1841</v>
      </c>
      <c r="Z188">
        <v>4842179.1619999995</v>
      </c>
      <c r="AA188">
        <v>12553041.036323847</v>
      </c>
      <c r="AB188" s="9" t="s">
        <v>1850</v>
      </c>
      <c r="AC188" s="9" t="s">
        <v>1838</v>
      </c>
    </row>
    <row r="189" spans="1:29">
      <c r="A189" s="9" t="s">
        <v>758</v>
      </c>
      <c r="B189" s="9" t="s">
        <v>137</v>
      </c>
      <c r="C189" s="9" t="s">
        <v>138</v>
      </c>
      <c r="D189" s="9" t="s">
        <v>82</v>
      </c>
      <c r="E189">
        <v>2023</v>
      </c>
      <c r="F189">
        <v>12600769</v>
      </c>
      <c r="G189">
        <v>1.4999999999999999E-2</v>
      </c>
      <c r="H189">
        <v>189011.54</v>
      </c>
      <c r="I189" s="9" t="s">
        <v>759</v>
      </c>
      <c r="J189" s="9" t="s">
        <v>760</v>
      </c>
      <c r="K189" s="9" t="s">
        <v>761</v>
      </c>
      <c r="L189">
        <v>13086245</v>
      </c>
      <c r="M189" s="8">
        <v>45631</v>
      </c>
      <c r="N189" s="9" t="s">
        <v>138</v>
      </c>
      <c r="O189">
        <v>1.4999999999999999E-2</v>
      </c>
      <c r="P189">
        <v>2</v>
      </c>
      <c r="Q189" s="9" t="s">
        <v>1824</v>
      </c>
      <c r="R189" s="9" t="s">
        <v>1838</v>
      </c>
      <c r="S189" s="9" t="s">
        <v>1839</v>
      </c>
      <c r="T189" s="9" t="s">
        <v>1838</v>
      </c>
      <c r="U189" s="9" t="s">
        <v>1844</v>
      </c>
      <c r="V189" s="9" t="s">
        <v>1838</v>
      </c>
      <c r="W189" s="9" t="s">
        <v>1838</v>
      </c>
      <c r="X189" s="9" t="s">
        <v>1838</v>
      </c>
      <c r="Y189" s="9" t="s">
        <v>1841</v>
      </c>
      <c r="Z189">
        <v>4842179.1619999995</v>
      </c>
      <c r="AA189">
        <v>12553041.036323847</v>
      </c>
      <c r="AB189" s="9" t="s">
        <v>1850</v>
      </c>
      <c r="AC189" s="9" t="s">
        <v>1843</v>
      </c>
    </row>
    <row r="190" spans="1:29">
      <c r="A190" s="9" t="s">
        <v>758</v>
      </c>
      <c r="B190" s="9" t="s">
        <v>131</v>
      </c>
      <c r="C190" s="9" t="s">
        <v>132</v>
      </c>
      <c r="D190" s="9" t="s">
        <v>51</v>
      </c>
      <c r="E190">
        <v>2023</v>
      </c>
      <c r="F190">
        <v>675517</v>
      </c>
      <c r="G190">
        <v>1.2800000000000001E-2</v>
      </c>
      <c r="H190">
        <v>8646.6200000000008</v>
      </c>
      <c r="I190" s="9" t="s">
        <v>823</v>
      </c>
      <c r="J190" s="9" t="s">
        <v>824</v>
      </c>
      <c r="K190" s="9" t="s">
        <v>564</v>
      </c>
      <c r="L190">
        <v>800648</v>
      </c>
      <c r="M190" s="8">
        <v>44205</v>
      </c>
      <c r="N190" s="9" t="s">
        <v>132</v>
      </c>
      <c r="O190">
        <v>1.2800000000000001E-2</v>
      </c>
      <c r="P190">
        <v>2</v>
      </c>
      <c r="Q190" s="9" t="s">
        <v>1820</v>
      </c>
      <c r="R190" s="9" t="s">
        <v>1838</v>
      </c>
      <c r="S190" s="9" t="s">
        <v>1839</v>
      </c>
      <c r="T190" s="9" t="s">
        <v>1838</v>
      </c>
      <c r="U190" s="9" t="s">
        <v>1844</v>
      </c>
      <c r="V190" s="9" t="s">
        <v>1838</v>
      </c>
      <c r="W190" s="9" t="s">
        <v>1838</v>
      </c>
      <c r="X190" s="9" t="s">
        <v>1838</v>
      </c>
      <c r="Y190" s="9" t="s">
        <v>1841</v>
      </c>
      <c r="Z190">
        <v>4842179.1619999995</v>
      </c>
      <c r="AA190">
        <v>12553041.036323847</v>
      </c>
      <c r="AB190" s="9" t="s">
        <v>1850</v>
      </c>
      <c r="AC190" s="9" t="s">
        <v>1843</v>
      </c>
    </row>
    <row r="191" spans="1:29">
      <c r="A191" s="9" t="s">
        <v>762</v>
      </c>
      <c r="B191" s="9" t="s">
        <v>150</v>
      </c>
      <c r="C191" s="9" t="s">
        <v>151</v>
      </c>
      <c r="D191" s="9" t="s">
        <v>97</v>
      </c>
      <c r="E191">
        <v>2021</v>
      </c>
      <c r="F191">
        <v>3554603</v>
      </c>
      <c r="G191">
        <v>2.0299999999999999E-2</v>
      </c>
      <c r="H191">
        <v>72158.44</v>
      </c>
      <c r="I191" s="9" t="s">
        <v>763</v>
      </c>
      <c r="J191" s="9" t="s">
        <v>764</v>
      </c>
      <c r="K191" s="9" t="s">
        <v>765</v>
      </c>
      <c r="L191">
        <v>4226559</v>
      </c>
      <c r="M191" s="8">
        <v>44569</v>
      </c>
      <c r="N191" s="9" t="s">
        <v>151</v>
      </c>
      <c r="O191">
        <v>2.0299999999999999E-2</v>
      </c>
      <c r="P191">
        <v>1</v>
      </c>
      <c r="Q191" s="9" t="s">
        <v>1821</v>
      </c>
      <c r="R191" s="9" t="s">
        <v>1838</v>
      </c>
      <c r="S191" s="9" t="s">
        <v>1839</v>
      </c>
      <c r="T191" s="9" t="s">
        <v>1838</v>
      </c>
      <c r="U191" s="9" t="s">
        <v>1840</v>
      </c>
      <c r="V191" s="9" t="s">
        <v>1838</v>
      </c>
      <c r="W191" s="9" t="s">
        <v>1838</v>
      </c>
      <c r="X191" s="9" t="s">
        <v>1838</v>
      </c>
      <c r="Y191" s="9" t="s">
        <v>1841</v>
      </c>
      <c r="Z191">
        <v>4842179.1619999995</v>
      </c>
      <c r="AA191">
        <v>12553041.036323847</v>
      </c>
      <c r="AB191" s="9" t="s">
        <v>1850</v>
      </c>
      <c r="AC191" s="9" t="s">
        <v>1838</v>
      </c>
    </row>
    <row r="192" spans="1:29">
      <c r="A192" s="9" t="s">
        <v>766</v>
      </c>
      <c r="B192" s="9" t="s">
        <v>69</v>
      </c>
      <c r="C192" s="9" t="s">
        <v>70</v>
      </c>
      <c r="D192" s="9" t="s">
        <v>82</v>
      </c>
      <c r="E192">
        <v>2021</v>
      </c>
      <c r="F192">
        <v>4073352</v>
      </c>
      <c r="G192">
        <v>1.49E-2</v>
      </c>
      <c r="H192">
        <v>60692.94</v>
      </c>
      <c r="I192" s="9" t="s">
        <v>767</v>
      </c>
      <c r="J192" s="9" t="s">
        <v>768</v>
      </c>
      <c r="K192" s="9" t="s">
        <v>769</v>
      </c>
      <c r="L192">
        <v>4778778</v>
      </c>
      <c r="M192" s="8">
        <v>45613</v>
      </c>
      <c r="N192" s="9" t="s">
        <v>70</v>
      </c>
      <c r="O192">
        <v>1.49E-2</v>
      </c>
      <c r="P192">
        <v>1</v>
      </c>
      <c r="Q192" s="9" t="s">
        <v>1824</v>
      </c>
      <c r="R192" s="9" t="s">
        <v>1838</v>
      </c>
      <c r="S192" s="9" t="s">
        <v>1839</v>
      </c>
      <c r="T192" s="9" t="s">
        <v>1838</v>
      </c>
      <c r="U192" s="9" t="s">
        <v>1840</v>
      </c>
      <c r="V192" s="9" t="s">
        <v>1838</v>
      </c>
      <c r="W192" s="9" t="s">
        <v>1838</v>
      </c>
      <c r="X192" s="9" t="s">
        <v>1838</v>
      </c>
      <c r="Y192" s="9" t="s">
        <v>1841</v>
      </c>
      <c r="Z192">
        <v>4842179.1619999995</v>
      </c>
      <c r="AA192">
        <v>12553041.036323847</v>
      </c>
      <c r="AB192" s="9" t="s">
        <v>1850</v>
      </c>
      <c r="AC192" s="9" t="s">
        <v>1838</v>
      </c>
    </row>
    <row r="193" spans="1:29">
      <c r="A193" s="9" t="s">
        <v>770</v>
      </c>
      <c r="B193" s="9" t="s">
        <v>87</v>
      </c>
      <c r="C193" s="9" t="s">
        <v>88</v>
      </c>
      <c r="D193" s="9" t="s">
        <v>51</v>
      </c>
      <c r="E193">
        <v>2022</v>
      </c>
      <c r="F193">
        <v>560454</v>
      </c>
      <c r="G193">
        <v>1.2500000000000001E-2</v>
      </c>
      <c r="H193">
        <v>7005.68</v>
      </c>
      <c r="I193" s="9" t="s">
        <v>771</v>
      </c>
      <c r="J193" s="9" t="s">
        <v>772</v>
      </c>
      <c r="K193" s="9" t="s">
        <v>773</v>
      </c>
      <c r="L193">
        <v>510404</v>
      </c>
      <c r="M193" s="8">
        <v>44991</v>
      </c>
      <c r="N193" s="9" t="s">
        <v>88</v>
      </c>
      <c r="O193">
        <v>1.2500000000000001E-2</v>
      </c>
      <c r="P193">
        <v>1</v>
      </c>
      <c r="Q193" s="9" t="s">
        <v>1820</v>
      </c>
      <c r="R193" s="9" t="s">
        <v>1838</v>
      </c>
      <c r="S193" s="9" t="s">
        <v>1839</v>
      </c>
      <c r="T193" s="9" t="s">
        <v>1838</v>
      </c>
      <c r="U193" s="9" t="s">
        <v>1840</v>
      </c>
      <c r="V193" s="9" t="s">
        <v>1838</v>
      </c>
      <c r="W193" s="9" t="s">
        <v>1838</v>
      </c>
      <c r="X193" s="9" t="s">
        <v>1838</v>
      </c>
      <c r="Y193" s="9" t="s">
        <v>1841</v>
      </c>
      <c r="Z193">
        <v>4842179.1619999995</v>
      </c>
      <c r="AA193">
        <v>12553041.036323847</v>
      </c>
      <c r="AB193" s="9" t="s">
        <v>1850</v>
      </c>
      <c r="AC193" s="9" t="s">
        <v>1838</v>
      </c>
    </row>
    <row r="194" spans="1:29">
      <c r="A194" s="9" t="s">
        <v>774</v>
      </c>
      <c r="B194" s="9" t="s">
        <v>101</v>
      </c>
      <c r="C194" s="9" t="s">
        <v>102</v>
      </c>
      <c r="D194" s="9" t="s">
        <v>82</v>
      </c>
      <c r="E194">
        <v>2024</v>
      </c>
      <c r="F194">
        <v>3979130</v>
      </c>
      <c r="G194">
        <v>1.52E-2</v>
      </c>
      <c r="H194">
        <v>60482.78</v>
      </c>
      <c r="I194" s="9" t="s">
        <v>775</v>
      </c>
      <c r="J194" s="9" t="s">
        <v>776</v>
      </c>
      <c r="K194" s="9" t="s">
        <v>392</v>
      </c>
      <c r="L194">
        <v>3889492</v>
      </c>
      <c r="M194" s="8">
        <v>44658</v>
      </c>
      <c r="N194" s="9" t="s">
        <v>102</v>
      </c>
      <c r="O194">
        <v>1.52E-2</v>
      </c>
      <c r="P194">
        <v>1</v>
      </c>
      <c r="Q194" s="9" t="s">
        <v>1824</v>
      </c>
      <c r="R194" s="9" t="s">
        <v>1838</v>
      </c>
      <c r="S194" s="9" t="s">
        <v>1839</v>
      </c>
      <c r="T194" s="9" t="s">
        <v>1838</v>
      </c>
      <c r="U194" s="9" t="s">
        <v>1840</v>
      </c>
      <c r="V194" s="9" t="s">
        <v>1838</v>
      </c>
      <c r="W194" s="9" t="s">
        <v>1838</v>
      </c>
      <c r="X194" s="9" t="s">
        <v>1838</v>
      </c>
      <c r="Y194" s="9" t="s">
        <v>1841</v>
      </c>
      <c r="Z194">
        <v>4842179.1619999995</v>
      </c>
      <c r="AA194">
        <v>12553041.036323847</v>
      </c>
      <c r="AB194" s="9" t="s">
        <v>1850</v>
      </c>
      <c r="AC194" s="9" t="s">
        <v>1838</v>
      </c>
    </row>
    <row r="195" spans="1:29">
      <c r="A195" s="9" t="s">
        <v>777</v>
      </c>
      <c r="B195" s="9" t="s">
        <v>76</v>
      </c>
      <c r="C195" s="9" t="s">
        <v>77</v>
      </c>
      <c r="D195" s="9" t="s">
        <v>71</v>
      </c>
      <c r="E195">
        <v>2024</v>
      </c>
      <c r="F195">
        <v>5012323</v>
      </c>
      <c r="G195">
        <v>1.84E-2</v>
      </c>
      <c r="H195">
        <v>92226.74</v>
      </c>
      <c r="I195" s="9" t="s">
        <v>778</v>
      </c>
      <c r="J195" s="9" t="s">
        <v>779</v>
      </c>
      <c r="K195" s="9" t="s">
        <v>780</v>
      </c>
      <c r="L195">
        <v>5122836</v>
      </c>
      <c r="M195" s="8">
        <v>44713</v>
      </c>
      <c r="N195" s="9" t="s">
        <v>77</v>
      </c>
      <c r="O195">
        <v>1.84E-2</v>
      </c>
      <c r="P195">
        <v>1</v>
      </c>
      <c r="Q195" s="9" t="s">
        <v>1822</v>
      </c>
      <c r="R195" s="9" t="s">
        <v>1838</v>
      </c>
      <c r="S195" s="9" t="s">
        <v>1839</v>
      </c>
      <c r="T195" s="9" t="s">
        <v>1838</v>
      </c>
      <c r="U195" s="9" t="s">
        <v>1840</v>
      </c>
      <c r="V195" s="9" t="s">
        <v>1838</v>
      </c>
      <c r="W195" s="9" t="s">
        <v>1838</v>
      </c>
      <c r="X195" s="9" t="s">
        <v>1838</v>
      </c>
      <c r="Y195" s="9" t="s">
        <v>1841</v>
      </c>
      <c r="Z195">
        <v>4842179.1619999995</v>
      </c>
      <c r="AA195">
        <v>12553041.036323847</v>
      </c>
      <c r="AB195" s="9" t="s">
        <v>1850</v>
      </c>
      <c r="AC195" s="9" t="s">
        <v>1838</v>
      </c>
    </row>
    <row r="196" spans="1:29">
      <c r="A196" s="9" t="s">
        <v>784</v>
      </c>
      <c r="B196" s="9" t="s">
        <v>137</v>
      </c>
      <c r="C196" s="9" t="s">
        <v>138</v>
      </c>
      <c r="D196" s="9" t="s">
        <v>71</v>
      </c>
      <c r="E196">
        <v>2022</v>
      </c>
      <c r="F196">
        <v>2708057</v>
      </c>
      <c r="G196">
        <v>1.8700000000000001E-2</v>
      </c>
      <c r="H196">
        <v>50640.67</v>
      </c>
      <c r="I196" s="9" t="s">
        <v>785</v>
      </c>
      <c r="J196" s="9" t="s">
        <v>786</v>
      </c>
      <c r="K196" s="9" t="s">
        <v>787</v>
      </c>
      <c r="L196">
        <v>3108373</v>
      </c>
      <c r="M196" s="8">
        <v>44243</v>
      </c>
      <c r="N196" s="9" t="s">
        <v>138</v>
      </c>
      <c r="O196">
        <v>1.8700000000000001E-2</v>
      </c>
      <c r="P196">
        <v>1</v>
      </c>
      <c r="Q196" s="9" t="s">
        <v>1822</v>
      </c>
      <c r="R196" s="9" t="s">
        <v>1838</v>
      </c>
      <c r="S196" s="9" t="s">
        <v>1839</v>
      </c>
      <c r="T196" s="9" t="s">
        <v>1838</v>
      </c>
      <c r="U196" s="9" t="s">
        <v>1840</v>
      </c>
      <c r="V196" s="9" t="s">
        <v>1838</v>
      </c>
      <c r="W196" s="9" t="s">
        <v>1838</v>
      </c>
      <c r="X196" s="9" t="s">
        <v>1838</v>
      </c>
      <c r="Y196" s="9" t="s">
        <v>1841</v>
      </c>
      <c r="Z196">
        <v>4842179.1619999995</v>
      </c>
      <c r="AA196">
        <v>12553041.036323847</v>
      </c>
      <c r="AB196" s="9" t="s">
        <v>1850</v>
      </c>
      <c r="AC196" s="9" t="s">
        <v>1838</v>
      </c>
    </row>
    <row r="197" spans="1:29">
      <c r="A197" s="9" t="s">
        <v>788</v>
      </c>
      <c r="B197" s="9" t="s">
        <v>150</v>
      </c>
      <c r="C197" s="9" t="s">
        <v>151</v>
      </c>
      <c r="D197" s="9" t="s">
        <v>97</v>
      </c>
      <c r="E197">
        <v>2024</v>
      </c>
      <c r="F197">
        <v>4517267</v>
      </c>
      <c r="G197">
        <v>2.0299999999999999E-2</v>
      </c>
      <c r="H197">
        <v>91700.52</v>
      </c>
      <c r="I197" s="9" t="s">
        <v>789</v>
      </c>
      <c r="J197" s="9" t="s">
        <v>790</v>
      </c>
      <c r="K197" s="9" t="s">
        <v>791</v>
      </c>
      <c r="L197">
        <v>5508440</v>
      </c>
      <c r="M197" s="8">
        <v>45589</v>
      </c>
      <c r="N197" s="9" t="s">
        <v>151</v>
      </c>
      <c r="O197">
        <v>2.0299999999999999E-2</v>
      </c>
      <c r="P197">
        <v>1</v>
      </c>
      <c r="Q197" s="9" t="s">
        <v>1821</v>
      </c>
      <c r="R197" s="9" t="s">
        <v>1838</v>
      </c>
      <c r="S197" s="9" t="s">
        <v>1839</v>
      </c>
      <c r="T197" s="9" t="s">
        <v>1838</v>
      </c>
      <c r="U197" s="9" t="s">
        <v>1840</v>
      </c>
      <c r="V197" s="9" t="s">
        <v>1838</v>
      </c>
      <c r="W197" s="9" t="s">
        <v>1838</v>
      </c>
      <c r="X197" s="9" t="s">
        <v>1838</v>
      </c>
      <c r="Y197" s="9" t="s">
        <v>1841</v>
      </c>
      <c r="Z197">
        <v>4842179.1619999995</v>
      </c>
      <c r="AA197">
        <v>12553041.036323847</v>
      </c>
      <c r="AB197" s="9" t="s">
        <v>1850</v>
      </c>
      <c r="AC197" s="9" t="s">
        <v>1838</v>
      </c>
    </row>
    <row r="198" spans="1:29">
      <c r="A198" s="9" t="s">
        <v>792</v>
      </c>
      <c r="B198" s="9" t="s">
        <v>150</v>
      </c>
      <c r="C198" s="9" t="s">
        <v>151</v>
      </c>
      <c r="D198" s="9" t="s">
        <v>51</v>
      </c>
      <c r="E198">
        <v>2022</v>
      </c>
      <c r="F198">
        <v>672346</v>
      </c>
      <c r="G198">
        <v>1.23E-2</v>
      </c>
      <c r="H198">
        <v>8269.86</v>
      </c>
      <c r="I198" s="9" t="s">
        <v>793</v>
      </c>
      <c r="J198" s="9" t="s">
        <v>794</v>
      </c>
      <c r="K198" s="9" t="s">
        <v>795</v>
      </c>
      <c r="L198">
        <v>814412</v>
      </c>
      <c r="M198" s="8">
        <v>45515</v>
      </c>
      <c r="N198" s="9" t="s">
        <v>151</v>
      </c>
      <c r="O198">
        <v>1.23E-2</v>
      </c>
      <c r="P198">
        <v>1</v>
      </c>
      <c r="Q198" s="9" t="s">
        <v>1820</v>
      </c>
      <c r="R198" s="9" t="s">
        <v>1838</v>
      </c>
      <c r="S198" s="9" t="s">
        <v>1839</v>
      </c>
      <c r="T198" s="9" t="s">
        <v>1838</v>
      </c>
      <c r="U198" s="9" t="s">
        <v>1840</v>
      </c>
      <c r="V198" s="9" t="s">
        <v>1838</v>
      </c>
      <c r="W198" s="9" t="s">
        <v>1838</v>
      </c>
      <c r="X198" s="9" t="s">
        <v>1838</v>
      </c>
      <c r="Y198" s="9" t="s">
        <v>1841</v>
      </c>
      <c r="Z198">
        <v>4842179.1619999995</v>
      </c>
      <c r="AA198">
        <v>12553041.036323847</v>
      </c>
      <c r="AB198" s="9" t="s">
        <v>1850</v>
      </c>
      <c r="AC198" s="9" t="s">
        <v>1838</v>
      </c>
    </row>
    <row r="199" spans="1:29">
      <c r="A199" s="9" t="s">
        <v>796</v>
      </c>
      <c r="B199" s="9" t="s">
        <v>49</v>
      </c>
      <c r="C199" s="9" t="s">
        <v>50</v>
      </c>
      <c r="D199" s="9" t="s">
        <v>58</v>
      </c>
      <c r="E199">
        <v>2023</v>
      </c>
      <c r="F199">
        <v>1499902</v>
      </c>
      <c r="G199">
        <v>9.1000000000000004E-3</v>
      </c>
      <c r="H199">
        <v>13649.11</v>
      </c>
      <c r="I199" s="9" t="s">
        <v>797</v>
      </c>
      <c r="J199" s="9" t="s">
        <v>798</v>
      </c>
      <c r="K199" s="9" t="s">
        <v>672</v>
      </c>
      <c r="L199">
        <v>1683002</v>
      </c>
      <c r="M199" s="8">
        <v>43840</v>
      </c>
      <c r="N199" s="9" t="s">
        <v>50</v>
      </c>
      <c r="O199">
        <v>9.1000000000000004E-3</v>
      </c>
      <c r="P199">
        <v>1</v>
      </c>
      <c r="Q199" s="9" t="s">
        <v>1823</v>
      </c>
      <c r="R199" s="9" t="s">
        <v>1838</v>
      </c>
      <c r="S199" s="9" t="s">
        <v>1839</v>
      </c>
      <c r="T199" s="9" t="s">
        <v>1838</v>
      </c>
      <c r="U199" s="9" t="s">
        <v>1840</v>
      </c>
      <c r="V199" s="9" t="s">
        <v>1838</v>
      </c>
      <c r="W199" s="9" t="s">
        <v>1838</v>
      </c>
      <c r="X199" s="9" t="s">
        <v>1838</v>
      </c>
      <c r="Y199" s="9" t="s">
        <v>1841</v>
      </c>
      <c r="Z199">
        <v>4842179.1619999995</v>
      </c>
      <c r="AA199">
        <v>12553041.036323847</v>
      </c>
      <c r="AB199" s="9" t="s">
        <v>1850</v>
      </c>
      <c r="AC199" s="9" t="s">
        <v>1838</v>
      </c>
    </row>
    <row r="200" spans="1:29">
      <c r="A200" s="9" t="s">
        <v>799</v>
      </c>
      <c r="B200" s="9" t="s">
        <v>101</v>
      </c>
      <c r="C200" s="9" t="s">
        <v>102</v>
      </c>
      <c r="D200" s="9" t="s">
        <v>71</v>
      </c>
      <c r="E200">
        <v>2022</v>
      </c>
      <c r="F200">
        <v>7105402</v>
      </c>
      <c r="G200">
        <v>1.89E-2</v>
      </c>
      <c r="H200">
        <v>134292.1</v>
      </c>
      <c r="I200" s="9" t="s">
        <v>800</v>
      </c>
      <c r="J200" s="9" t="s">
        <v>801</v>
      </c>
      <c r="K200" s="9" t="s">
        <v>802</v>
      </c>
      <c r="L200">
        <v>6488681</v>
      </c>
      <c r="M200" s="8">
        <v>44282</v>
      </c>
      <c r="N200" s="9" t="s">
        <v>102</v>
      </c>
      <c r="O200">
        <v>1.89E-2</v>
      </c>
      <c r="P200">
        <v>1</v>
      </c>
      <c r="Q200" s="9" t="s">
        <v>1822</v>
      </c>
      <c r="R200" s="9" t="s">
        <v>1838</v>
      </c>
      <c r="S200" s="9" t="s">
        <v>1839</v>
      </c>
      <c r="T200" s="9" t="s">
        <v>1838</v>
      </c>
      <c r="U200" s="9" t="s">
        <v>1840</v>
      </c>
      <c r="V200" s="9" t="s">
        <v>1838</v>
      </c>
      <c r="W200" s="9" t="s">
        <v>1838</v>
      </c>
      <c r="X200" s="9" t="s">
        <v>1838</v>
      </c>
      <c r="Y200" s="9" t="s">
        <v>1841</v>
      </c>
      <c r="Z200">
        <v>4842179.1619999995</v>
      </c>
      <c r="AA200">
        <v>12553041.036323847</v>
      </c>
      <c r="AB200" s="9" t="s">
        <v>1850</v>
      </c>
      <c r="AC200" s="9" t="s">
        <v>1838</v>
      </c>
    </row>
    <row r="201" spans="1:29">
      <c r="A201" s="9" t="s">
        <v>803</v>
      </c>
      <c r="B201" s="9" t="s">
        <v>150</v>
      </c>
      <c r="C201" s="9" t="s">
        <v>151</v>
      </c>
      <c r="D201" s="9" t="s">
        <v>51</v>
      </c>
      <c r="E201">
        <v>2023</v>
      </c>
      <c r="F201">
        <v>991719</v>
      </c>
      <c r="G201">
        <v>1.23E-2</v>
      </c>
      <c r="H201">
        <v>12198.14</v>
      </c>
      <c r="I201" s="9" t="s">
        <v>804</v>
      </c>
      <c r="J201" s="9" t="s">
        <v>805</v>
      </c>
      <c r="K201" s="9" t="s">
        <v>806</v>
      </c>
      <c r="L201">
        <v>915208</v>
      </c>
      <c r="M201" s="8">
        <v>43924</v>
      </c>
      <c r="N201" s="9" t="s">
        <v>151</v>
      </c>
      <c r="O201">
        <v>1.23E-2</v>
      </c>
      <c r="P201">
        <v>1</v>
      </c>
      <c r="Q201" s="9" t="s">
        <v>1820</v>
      </c>
      <c r="R201" s="9" t="s">
        <v>1838</v>
      </c>
      <c r="S201" s="9" t="s">
        <v>1839</v>
      </c>
      <c r="T201" s="9" t="s">
        <v>1838</v>
      </c>
      <c r="U201" s="9" t="s">
        <v>1840</v>
      </c>
      <c r="V201" s="9" t="s">
        <v>1838</v>
      </c>
      <c r="W201" s="9" t="s">
        <v>1838</v>
      </c>
      <c r="X201" s="9" t="s">
        <v>1838</v>
      </c>
      <c r="Y201" s="9" t="s">
        <v>1841</v>
      </c>
      <c r="Z201">
        <v>4842179.1619999995</v>
      </c>
      <c r="AA201">
        <v>12553041.036323847</v>
      </c>
      <c r="AB201" s="9" t="s">
        <v>1850</v>
      </c>
      <c r="AC201" s="9" t="s">
        <v>1838</v>
      </c>
    </row>
    <row r="202" spans="1:29">
      <c r="A202" s="9" t="s">
        <v>807</v>
      </c>
      <c r="B202" s="9" t="s">
        <v>137</v>
      </c>
      <c r="C202" s="9" t="s">
        <v>138</v>
      </c>
      <c r="D202" s="9" t="s">
        <v>71</v>
      </c>
      <c r="E202">
        <v>2024</v>
      </c>
      <c r="F202">
        <v>119505943</v>
      </c>
      <c r="G202">
        <v>1.8700000000000001E-2</v>
      </c>
      <c r="H202">
        <v>126686.63</v>
      </c>
      <c r="I202" s="9" t="s">
        <v>808</v>
      </c>
      <c r="J202" s="9" t="s">
        <v>809</v>
      </c>
      <c r="K202" s="9" t="s">
        <v>692</v>
      </c>
      <c r="L202">
        <v>6142565</v>
      </c>
      <c r="M202" s="8">
        <v>44656</v>
      </c>
      <c r="N202" s="9" t="s">
        <v>138</v>
      </c>
      <c r="O202">
        <v>1.8700000000000001E-2</v>
      </c>
      <c r="P202">
        <v>1</v>
      </c>
      <c r="Q202" s="9" t="s">
        <v>1822</v>
      </c>
      <c r="R202" s="9" t="s">
        <v>1838</v>
      </c>
      <c r="S202" s="9" t="s">
        <v>1839</v>
      </c>
      <c r="T202" s="9" t="s">
        <v>1845</v>
      </c>
      <c r="U202" s="9" t="s">
        <v>1840</v>
      </c>
      <c r="V202" s="9" t="s">
        <v>1838</v>
      </c>
      <c r="W202" s="9" t="s">
        <v>1838</v>
      </c>
      <c r="X202" s="9" t="s">
        <v>1838</v>
      </c>
      <c r="Y202" s="9" t="s">
        <v>1841</v>
      </c>
      <c r="Z202">
        <v>4842179.1619999995</v>
      </c>
      <c r="AA202">
        <v>12553041.036323847</v>
      </c>
      <c r="AB202" s="9" t="s">
        <v>1851</v>
      </c>
      <c r="AC202" s="9" t="s">
        <v>1843</v>
      </c>
    </row>
    <row r="203" spans="1:29">
      <c r="A203" s="9" t="s">
        <v>810</v>
      </c>
      <c r="B203" s="9" t="s">
        <v>131</v>
      </c>
      <c r="C203" s="9" t="s">
        <v>132</v>
      </c>
      <c r="D203" s="9" t="s">
        <v>97</v>
      </c>
      <c r="E203">
        <v>2021</v>
      </c>
      <c r="F203">
        <v>2893487</v>
      </c>
      <c r="G203">
        <v>2.0799999999999999E-2</v>
      </c>
      <c r="H203">
        <v>60184.53</v>
      </c>
      <c r="I203" s="9" t="s">
        <v>811</v>
      </c>
      <c r="J203" s="9" t="s">
        <v>812</v>
      </c>
      <c r="K203" s="9" t="s">
        <v>813</v>
      </c>
      <c r="L203">
        <v>3266020</v>
      </c>
      <c r="M203" s="8">
        <v>43546</v>
      </c>
      <c r="N203" s="9" t="s">
        <v>132</v>
      </c>
      <c r="O203">
        <v>2.0799999999999999E-2</v>
      </c>
      <c r="P203">
        <v>1</v>
      </c>
      <c r="Q203" s="9" t="s">
        <v>1821</v>
      </c>
      <c r="R203" s="9" t="s">
        <v>1838</v>
      </c>
      <c r="S203" s="9" t="s">
        <v>1839</v>
      </c>
      <c r="T203" s="9" t="s">
        <v>1838</v>
      </c>
      <c r="U203" s="9" t="s">
        <v>1840</v>
      </c>
      <c r="V203" s="9" t="s">
        <v>1838</v>
      </c>
      <c r="W203" s="9" t="s">
        <v>1838</v>
      </c>
      <c r="X203" s="9" t="s">
        <v>1838</v>
      </c>
      <c r="Y203" s="9" t="s">
        <v>1841</v>
      </c>
      <c r="Z203">
        <v>4842179.1619999995</v>
      </c>
      <c r="AA203">
        <v>12553041.036323847</v>
      </c>
      <c r="AB203" s="9" t="s">
        <v>1850</v>
      </c>
      <c r="AC203" s="9" t="s">
        <v>1838</v>
      </c>
    </row>
    <row r="204" spans="1:29">
      <c r="A204" s="9" t="s">
        <v>814</v>
      </c>
      <c r="B204" s="9" t="s">
        <v>63</v>
      </c>
      <c r="C204" s="9" t="s">
        <v>138</v>
      </c>
      <c r="D204" s="9" t="s">
        <v>51</v>
      </c>
      <c r="E204">
        <v>2024</v>
      </c>
      <c r="F204">
        <v>731615</v>
      </c>
      <c r="G204">
        <v>1.2500000000000001E-2</v>
      </c>
      <c r="H204">
        <v>9145.19</v>
      </c>
      <c r="I204" s="9" t="s">
        <v>815</v>
      </c>
      <c r="J204" s="9" t="s">
        <v>816</v>
      </c>
      <c r="K204" s="9" t="s">
        <v>817</v>
      </c>
      <c r="L204">
        <v>871155</v>
      </c>
      <c r="M204" s="8">
        <v>44411</v>
      </c>
      <c r="N204" s="9" t="s">
        <v>64</v>
      </c>
      <c r="O204">
        <v>1.2500000000000001E-2</v>
      </c>
      <c r="P204">
        <v>1</v>
      </c>
      <c r="Q204" s="9" t="s">
        <v>1820</v>
      </c>
      <c r="R204" s="9" t="s">
        <v>1838</v>
      </c>
      <c r="S204" s="9" t="s">
        <v>1845</v>
      </c>
      <c r="T204" s="9" t="s">
        <v>1838</v>
      </c>
      <c r="U204" s="9" t="s">
        <v>1840</v>
      </c>
      <c r="V204" s="9" t="s">
        <v>1838</v>
      </c>
      <c r="W204" s="9" t="s">
        <v>1838</v>
      </c>
      <c r="X204" s="9" t="s">
        <v>1838</v>
      </c>
      <c r="Y204" s="9" t="s">
        <v>1841</v>
      </c>
      <c r="Z204">
        <v>4842179.1619999995</v>
      </c>
      <c r="AA204">
        <v>12553041.036323847</v>
      </c>
      <c r="AB204" s="9" t="s">
        <v>1850</v>
      </c>
      <c r="AC204" s="9" t="s">
        <v>1843</v>
      </c>
    </row>
    <row r="205" spans="1:29">
      <c r="A205" s="9" t="s">
        <v>820</v>
      </c>
      <c r="B205" s="9" t="s">
        <v>150</v>
      </c>
      <c r="C205" s="9" t="s">
        <v>151</v>
      </c>
      <c r="D205" s="9" t="s">
        <v>97</v>
      </c>
      <c r="E205">
        <v>2021</v>
      </c>
      <c r="F205">
        <v>716157</v>
      </c>
      <c r="G205">
        <v>2.0299999999999999E-2</v>
      </c>
      <c r="H205">
        <v>14537.99</v>
      </c>
      <c r="I205" s="9" t="s">
        <v>821</v>
      </c>
      <c r="J205" s="9" t="s">
        <v>822</v>
      </c>
      <c r="K205" s="9" t="s">
        <v>627</v>
      </c>
      <c r="L205">
        <v>760915</v>
      </c>
      <c r="M205" s="8">
        <v>43874</v>
      </c>
      <c r="N205" s="9" t="s">
        <v>151</v>
      </c>
      <c r="O205">
        <v>2.0299999999999999E-2</v>
      </c>
      <c r="P205">
        <v>1</v>
      </c>
      <c r="Q205" s="9" t="s">
        <v>1821</v>
      </c>
      <c r="R205" s="9" t="s">
        <v>1838</v>
      </c>
      <c r="S205" s="9" t="s">
        <v>1839</v>
      </c>
      <c r="T205" s="9" t="s">
        <v>1838</v>
      </c>
      <c r="U205" s="9" t="s">
        <v>1840</v>
      </c>
      <c r="V205" s="9" t="s">
        <v>1838</v>
      </c>
      <c r="W205" s="9" t="s">
        <v>1838</v>
      </c>
      <c r="X205" s="9" t="s">
        <v>1838</v>
      </c>
      <c r="Y205" s="9" t="s">
        <v>1841</v>
      </c>
      <c r="Z205">
        <v>4842179.1619999995</v>
      </c>
      <c r="AA205">
        <v>12553041.036323847</v>
      </c>
      <c r="AB205" s="9" t="s">
        <v>1850</v>
      </c>
      <c r="AC205" s="9" t="s">
        <v>1838</v>
      </c>
    </row>
    <row r="206" spans="1:29">
      <c r="A206" s="9" t="s">
        <v>825</v>
      </c>
      <c r="B206" s="9" t="s">
        <v>49</v>
      </c>
      <c r="C206" s="9" t="s">
        <v>50</v>
      </c>
      <c r="D206" s="9" t="s">
        <v>425</v>
      </c>
      <c r="E206">
        <v>2024</v>
      </c>
      <c r="F206">
        <v>3739727</v>
      </c>
      <c r="G206">
        <v>9.1000000000000004E-3</v>
      </c>
      <c r="H206">
        <v>34031.519999999997</v>
      </c>
      <c r="I206" s="9" t="s">
        <v>826</v>
      </c>
      <c r="J206" s="9" t="s">
        <v>827</v>
      </c>
      <c r="K206" s="9" t="s">
        <v>828</v>
      </c>
      <c r="L206">
        <v>4110447</v>
      </c>
      <c r="M206" s="8">
        <v>45094</v>
      </c>
      <c r="N206" s="9" t="s">
        <v>50</v>
      </c>
      <c r="P206">
        <v>1</v>
      </c>
      <c r="Q206" s="9"/>
      <c r="R206" s="9" t="s">
        <v>1838</v>
      </c>
      <c r="S206" s="9" t="s">
        <v>1839</v>
      </c>
      <c r="T206" s="9" t="s">
        <v>1845</v>
      </c>
      <c r="U206" s="9" t="s">
        <v>1840</v>
      </c>
      <c r="V206" s="9" t="s">
        <v>1838</v>
      </c>
      <c r="W206" s="9" t="s">
        <v>1842</v>
      </c>
      <c r="X206" s="9" t="s">
        <v>1838</v>
      </c>
      <c r="Y206" s="9" t="s">
        <v>1841</v>
      </c>
      <c r="Z206">
        <v>4842179.1619999995</v>
      </c>
      <c r="AA206">
        <v>12553041.036323847</v>
      </c>
      <c r="AB206" s="9" t="s">
        <v>1850</v>
      </c>
      <c r="AC206" s="9" t="s">
        <v>1843</v>
      </c>
    </row>
    <row r="207" spans="1:29">
      <c r="A207" s="9" t="s">
        <v>829</v>
      </c>
      <c r="B207" s="9" t="s">
        <v>131</v>
      </c>
      <c r="C207" s="9" t="s">
        <v>132</v>
      </c>
      <c r="D207" s="9" t="s">
        <v>82</v>
      </c>
      <c r="E207">
        <v>2024</v>
      </c>
      <c r="F207">
        <v>10738987</v>
      </c>
      <c r="G207">
        <v>1.5100000000000001E-2</v>
      </c>
      <c r="H207">
        <v>162158.70000000001</v>
      </c>
      <c r="I207" s="9" t="s">
        <v>830</v>
      </c>
      <c r="J207" s="9" t="s">
        <v>831</v>
      </c>
      <c r="K207" s="9" t="s">
        <v>832</v>
      </c>
      <c r="L207">
        <v>12928841</v>
      </c>
      <c r="M207" s="8">
        <v>45271</v>
      </c>
      <c r="N207" s="9" t="s">
        <v>132</v>
      </c>
      <c r="O207">
        <v>1.5100000000000001E-2</v>
      </c>
      <c r="P207">
        <v>1</v>
      </c>
      <c r="Q207" s="9" t="s">
        <v>1824</v>
      </c>
      <c r="R207" s="9" t="s">
        <v>1838</v>
      </c>
      <c r="S207" s="9" t="s">
        <v>1839</v>
      </c>
      <c r="T207" s="9" t="s">
        <v>1838</v>
      </c>
      <c r="U207" s="9" t="s">
        <v>1840</v>
      </c>
      <c r="V207" s="9" t="s">
        <v>1838</v>
      </c>
      <c r="W207" s="9" t="s">
        <v>1838</v>
      </c>
      <c r="X207" s="9" t="s">
        <v>1838</v>
      </c>
      <c r="Y207" s="9" t="s">
        <v>1841</v>
      </c>
      <c r="Z207">
        <v>4842179.1619999995</v>
      </c>
      <c r="AA207">
        <v>12553041.036323847</v>
      </c>
      <c r="AB207" s="9" t="s">
        <v>1850</v>
      </c>
      <c r="AC207" s="9" t="s">
        <v>1838</v>
      </c>
    </row>
    <row r="208" spans="1:29">
      <c r="A208" s="9" t="s">
        <v>833</v>
      </c>
      <c r="B208" s="9" t="s">
        <v>87</v>
      </c>
      <c r="C208" s="9" t="s">
        <v>88</v>
      </c>
      <c r="D208" s="9" t="s">
        <v>82</v>
      </c>
      <c r="E208">
        <v>2022</v>
      </c>
      <c r="F208">
        <v>15702781</v>
      </c>
      <c r="G208">
        <v>1.4800000000000001E-2</v>
      </c>
      <c r="H208">
        <v>232401.16</v>
      </c>
      <c r="I208" s="9" t="s">
        <v>834</v>
      </c>
      <c r="J208" s="9" t="s">
        <v>835</v>
      </c>
      <c r="K208" s="9" t="s">
        <v>836</v>
      </c>
      <c r="L208">
        <v>19561379</v>
      </c>
      <c r="M208" s="8">
        <v>43689</v>
      </c>
      <c r="N208" s="9" t="s">
        <v>88</v>
      </c>
      <c r="O208">
        <v>1.4800000000000001E-2</v>
      </c>
      <c r="P208">
        <v>1</v>
      </c>
      <c r="Q208" s="9" t="s">
        <v>1824</v>
      </c>
      <c r="R208" s="9" t="s">
        <v>1838</v>
      </c>
      <c r="S208" s="9" t="s">
        <v>1839</v>
      </c>
      <c r="T208" s="9" t="s">
        <v>1838</v>
      </c>
      <c r="U208" s="9" t="s">
        <v>1840</v>
      </c>
      <c r="V208" s="9" t="s">
        <v>1838</v>
      </c>
      <c r="W208" s="9" t="s">
        <v>1838</v>
      </c>
      <c r="X208" s="9" t="s">
        <v>1838</v>
      </c>
      <c r="Y208" s="9" t="s">
        <v>1841</v>
      </c>
      <c r="Z208">
        <v>4842179.1619999995</v>
      </c>
      <c r="AA208">
        <v>12553041.036323847</v>
      </c>
      <c r="AB208" s="9" t="s">
        <v>1850</v>
      </c>
      <c r="AC208" s="9" t="s">
        <v>1838</v>
      </c>
    </row>
    <row r="209" spans="1:29">
      <c r="A209" s="9" t="s">
        <v>837</v>
      </c>
      <c r="B209" s="9" t="s">
        <v>63</v>
      </c>
      <c r="C209" s="9" t="s">
        <v>64</v>
      </c>
      <c r="D209" s="9" t="s">
        <v>97</v>
      </c>
      <c r="E209">
        <v>2024</v>
      </c>
      <c r="F209">
        <v>4133455</v>
      </c>
      <c r="G209">
        <v>2.0500000000000001E-2</v>
      </c>
      <c r="H209">
        <v>84735.83</v>
      </c>
      <c r="I209" s="9" t="s">
        <v>838</v>
      </c>
      <c r="J209" s="9" t="s">
        <v>839</v>
      </c>
      <c r="K209" s="9" t="s">
        <v>765</v>
      </c>
      <c r="L209">
        <v>4549124</v>
      </c>
      <c r="M209" s="8">
        <v>44377</v>
      </c>
      <c r="N209" s="9" t="s">
        <v>64</v>
      </c>
      <c r="O209">
        <v>2.0500000000000001E-2</v>
      </c>
      <c r="P209">
        <v>1</v>
      </c>
      <c r="Q209" s="9" t="s">
        <v>1821</v>
      </c>
      <c r="R209" s="9" t="s">
        <v>1838</v>
      </c>
      <c r="S209" s="9" t="s">
        <v>1839</v>
      </c>
      <c r="T209" s="9" t="s">
        <v>1838</v>
      </c>
      <c r="U209" s="9" t="s">
        <v>1840</v>
      </c>
      <c r="V209" s="9" t="s">
        <v>1838</v>
      </c>
      <c r="W209" s="9" t="s">
        <v>1838</v>
      </c>
      <c r="X209" s="9" t="s">
        <v>1838</v>
      </c>
      <c r="Y209" s="9" t="s">
        <v>1841</v>
      </c>
      <c r="Z209">
        <v>4842179.1619999995</v>
      </c>
      <c r="AA209">
        <v>12553041.036323847</v>
      </c>
      <c r="AB209" s="9" t="s">
        <v>1850</v>
      </c>
      <c r="AC209" s="9" t="s">
        <v>1838</v>
      </c>
    </row>
    <row r="210" spans="1:29">
      <c r="A210" s="9" t="s">
        <v>840</v>
      </c>
      <c r="B210" s="9" t="s">
        <v>101</v>
      </c>
      <c r="C210" s="9" t="s">
        <v>102</v>
      </c>
      <c r="D210" s="9" t="s">
        <v>58</v>
      </c>
      <c r="E210">
        <v>2023</v>
      </c>
      <c r="F210">
        <v>808384</v>
      </c>
      <c r="G210">
        <v>9.9000000000000008E-3</v>
      </c>
      <c r="H210">
        <v>8003</v>
      </c>
      <c r="I210" s="9" t="s">
        <v>841</v>
      </c>
      <c r="J210" s="9" t="s">
        <v>842</v>
      </c>
      <c r="K210" s="9" t="s">
        <v>99</v>
      </c>
      <c r="L210">
        <v>979389</v>
      </c>
      <c r="M210" s="8">
        <v>44982</v>
      </c>
      <c r="N210" s="9" t="s">
        <v>102</v>
      </c>
      <c r="O210">
        <v>9.9000000000000008E-3</v>
      </c>
      <c r="P210">
        <v>1</v>
      </c>
      <c r="Q210" s="9" t="s">
        <v>1823</v>
      </c>
      <c r="R210" s="9" t="s">
        <v>1838</v>
      </c>
      <c r="S210" s="9" t="s">
        <v>1839</v>
      </c>
      <c r="T210" s="9" t="s">
        <v>1838</v>
      </c>
      <c r="U210" s="9" t="s">
        <v>1840</v>
      </c>
      <c r="V210" s="9" t="s">
        <v>1838</v>
      </c>
      <c r="W210" s="9" t="s">
        <v>1838</v>
      </c>
      <c r="X210" s="9" t="s">
        <v>1838</v>
      </c>
      <c r="Y210" s="9" t="s">
        <v>1841</v>
      </c>
      <c r="Z210">
        <v>4842179.1619999995</v>
      </c>
      <c r="AA210">
        <v>12553041.036323847</v>
      </c>
      <c r="AB210" s="9" t="s">
        <v>1850</v>
      </c>
      <c r="AC210" s="9" t="s">
        <v>1838</v>
      </c>
    </row>
    <row r="211" spans="1:29">
      <c r="A211" s="9" t="s">
        <v>843</v>
      </c>
      <c r="B211" s="9" t="s">
        <v>76</v>
      </c>
      <c r="C211" s="9" t="s">
        <v>138</v>
      </c>
      <c r="D211" s="9" t="s">
        <v>58</v>
      </c>
      <c r="E211">
        <v>2023</v>
      </c>
      <c r="F211">
        <v>1375295</v>
      </c>
      <c r="G211">
        <v>9.4000000000000004E-3</v>
      </c>
      <c r="H211">
        <v>12927.77</v>
      </c>
      <c r="I211" s="9" t="s">
        <v>844</v>
      </c>
      <c r="J211" s="9" t="s">
        <v>845</v>
      </c>
      <c r="K211" s="9" t="s">
        <v>608</v>
      </c>
      <c r="L211">
        <v>1542780</v>
      </c>
      <c r="M211" s="8">
        <v>45469</v>
      </c>
      <c r="N211" s="9" t="s">
        <v>77</v>
      </c>
      <c r="O211">
        <v>9.4000000000000004E-3</v>
      </c>
      <c r="P211">
        <v>1</v>
      </c>
      <c r="Q211" s="9" t="s">
        <v>1823</v>
      </c>
      <c r="R211" s="9" t="s">
        <v>1838</v>
      </c>
      <c r="S211" s="9" t="s">
        <v>1845</v>
      </c>
      <c r="T211" s="9" t="s">
        <v>1838</v>
      </c>
      <c r="U211" s="9" t="s">
        <v>1840</v>
      </c>
      <c r="V211" s="9" t="s">
        <v>1838</v>
      </c>
      <c r="W211" s="9" t="s">
        <v>1838</v>
      </c>
      <c r="X211" s="9" t="s">
        <v>1838</v>
      </c>
      <c r="Y211" s="9" t="s">
        <v>1841</v>
      </c>
      <c r="Z211">
        <v>4842179.1619999995</v>
      </c>
      <c r="AA211">
        <v>12553041.036323847</v>
      </c>
      <c r="AB211" s="9" t="s">
        <v>1850</v>
      </c>
      <c r="AC211" s="9" t="s">
        <v>1843</v>
      </c>
    </row>
    <row r="212" spans="1:29">
      <c r="A212" s="9" t="s">
        <v>846</v>
      </c>
      <c r="B212" s="9" t="s">
        <v>137</v>
      </c>
      <c r="C212" s="9" t="s">
        <v>138</v>
      </c>
      <c r="D212" s="9" t="s">
        <v>82</v>
      </c>
      <c r="E212">
        <v>2023</v>
      </c>
      <c r="F212">
        <v>9566638</v>
      </c>
      <c r="G212">
        <v>1.4999999999999999E-2</v>
      </c>
      <c r="H212">
        <v>143499.57</v>
      </c>
      <c r="I212" s="9" t="s">
        <v>847</v>
      </c>
      <c r="J212" s="9" t="s">
        <v>848</v>
      </c>
      <c r="K212" s="9" t="s">
        <v>849</v>
      </c>
      <c r="L212">
        <v>10140312</v>
      </c>
      <c r="M212" s="8">
        <v>45431</v>
      </c>
      <c r="N212" s="9" t="s">
        <v>138</v>
      </c>
      <c r="O212">
        <v>1.4999999999999999E-2</v>
      </c>
      <c r="P212">
        <v>1</v>
      </c>
      <c r="Q212" s="9" t="s">
        <v>1824</v>
      </c>
      <c r="R212" s="9" t="s">
        <v>1838</v>
      </c>
      <c r="S212" s="9" t="s">
        <v>1839</v>
      </c>
      <c r="T212" s="9" t="s">
        <v>1838</v>
      </c>
      <c r="U212" s="9" t="s">
        <v>1840</v>
      </c>
      <c r="V212" s="9" t="s">
        <v>1838</v>
      </c>
      <c r="W212" s="9" t="s">
        <v>1838</v>
      </c>
      <c r="X212" s="9" t="s">
        <v>1838</v>
      </c>
      <c r="Y212" s="9" t="s">
        <v>1841</v>
      </c>
      <c r="Z212">
        <v>4842179.1619999995</v>
      </c>
      <c r="AA212">
        <v>12553041.036323847</v>
      </c>
      <c r="AB212" s="9" t="s">
        <v>1850</v>
      </c>
      <c r="AC212" s="9" t="s">
        <v>1838</v>
      </c>
    </row>
    <row r="213" spans="1:29">
      <c r="A213" s="9" t="s">
        <v>850</v>
      </c>
      <c r="B213" s="9" t="s">
        <v>76</v>
      </c>
      <c r="C213" s="9" t="s">
        <v>77</v>
      </c>
      <c r="D213" s="9" t="s">
        <v>71</v>
      </c>
      <c r="E213">
        <v>2021</v>
      </c>
      <c r="F213">
        <v>7064134</v>
      </c>
      <c r="G213">
        <v>1.84E-2</v>
      </c>
      <c r="H213">
        <v>129980.07</v>
      </c>
      <c r="I213" s="9" t="s">
        <v>851</v>
      </c>
      <c r="J213" s="9" t="s">
        <v>852</v>
      </c>
      <c r="K213" s="9" t="s">
        <v>749</v>
      </c>
      <c r="L213">
        <v>8670221</v>
      </c>
      <c r="M213" s="8">
        <v>45444</v>
      </c>
      <c r="N213" s="9" t="s">
        <v>77</v>
      </c>
      <c r="O213">
        <v>1.84E-2</v>
      </c>
      <c r="P213">
        <v>1</v>
      </c>
      <c r="Q213" s="9" t="s">
        <v>1822</v>
      </c>
      <c r="R213" s="9" t="s">
        <v>1838</v>
      </c>
      <c r="S213" s="9" t="s">
        <v>1839</v>
      </c>
      <c r="T213" s="9" t="s">
        <v>1838</v>
      </c>
      <c r="U213" s="9" t="s">
        <v>1840</v>
      </c>
      <c r="V213" s="9" t="s">
        <v>1838</v>
      </c>
      <c r="W213" s="9" t="s">
        <v>1838</v>
      </c>
      <c r="X213" s="9" t="s">
        <v>1838</v>
      </c>
      <c r="Y213" s="9" t="s">
        <v>1841</v>
      </c>
      <c r="Z213">
        <v>4842179.1619999995</v>
      </c>
      <c r="AA213">
        <v>12553041.036323847</v>
      </c>
      <c r="AB213" s="9" t="s">
        <v>1850</v>
      </c>
      <c r="AC213" s="9" t="s">
        <v>1838</v>
      </c>
    </row>
    <row r="214" spans="1:29">
      <c r="A214" s="9" t="s">
        <v>853</v>
      </c>
      <c r="B214" s="9" t="s">
        <v>56</v>
      </c>
      <c r="C214" s="9" t="s">
        <v>57</v>
      </c>
      <c r="D214" s="9" t="s">
        <v>97</v>
      </c>
      <c r="E214">
        <v>2022</v>
      </c>
      <c r="F214">
        <v>3482309</v>
      </c>
      <c r="G214">
        <v>2.0400000000000001E-2</v>
      </c>
      <c r="H214">
        <v>71039.100000000006</v>
      </c>
      <c r="I214" s="9" t="s">
        <v>84</v>
      </c>
      <c r="J214" s="9" t="s">
        <v>854</v>
      </c>
      <c r="K214" s="9" t="s">
        <v>855</v>
      </c>
      <c r="L214">
        <v>3686010</v>
      </c>
      <c r="M214" s="8">
        <v>44012</v>
      </c>
      <c r="N214" s="9" t="s">
        <v>57</v>
      </c>
      <c r="O214">
        <v>2.0400000000000001E-2</v>
      </c>
      <c r="P214">
        <v>1</v>
      </c>
      <c r="Q214" s="9" t="s">
        <v>1821</v>
      </c>
      <c r="R214" s="9" t="s">
        <v>1838</v>
      </c>
      <c r="S214" s="9" t="s">
        <v>1839</v>
      </c>
      <c r="T214" s="9" t="s">
        <v>1838</v>
      </c>
      <c r="U214" s="9" t="s">
        <v>1840</v>
      </c>
      <c r="V214" s="9" t="s">
        <v>1838</v>
      </c>
      <c r="W214" s="9" t="s">
        <v>1838</v>
      </c>
      <c r="X214" s="9" t="s">
        <v>1838</v>
      </c>
      <c r="Y214" s="9" t="s">
        <v>1841</v>
      </c>
      <c r="Z214">
        <v>4842179.1619999995</v>
      </c>
      <c r="AA214">
        <v>12553041.036323847</v>
      </c>
      <c r="AB214" s="9" t="s">
        <v>1850</v>
      </c>
      <c r="AC214" s="9" t="s">
        <v>1838</v>
      </c>
    </row>
    <row r="215" spans="1:29">
      <c r="A215" s="9" t="s">
        <v>856</v>
      </c>
      <c r="B215" s="9" t="s">
        <v>131</v>
      </c>
      <c r="C215" s="9" t="s">
        <v>132</v>
      </c>
      <c r="D215" s="9" t="s">
        <v>58</v>
      </c>
      <c r="E215">
        <v>2023</v>
      </c>
      <c r="F215">
        <v>2948675</v>
      </c>
      <c r="G215">
        <v>9.7999999999999997E-3</v>
      </c>
      <c r="H215">
        <v>28897.01</v>
      </c>
      <c r="I215" s="9" t="s">
        <v>857</v>
      </c>
      <c r="J215" s="9" t="s">
        <v>858</v>
      </c>
      <c r="K215" s="9" t="s">
        <v>859</v>
      </c>
      <c r="L215">
        <v>2772910</v>
      </c>
      <c r="M215" s="8">
        <v>44552</v>
      </c>
      <c r="N215" s="9" t="s">
        <v>132</v>
      </c>
      <c r="O215">
        <v>9.7999999999999997E-3</v>
      </c>
      <c r="P215">
        <v>1</v>
      </c>
      <c r="Q215" s="9" t="s">
        <v>1823</v>
      </c>
      <c r="R215" s="9" t="s">
        <v>1838</v>
      </c>
      <c r="S215" s="9" t="s">
        <v>1839</v>
      </c>
      <c r="T215" s="9" t="s">
        <v>1838</v>
      </c>
      <c r="U215" s="9" t="s">
        <v>1840</v>
      </c>
      <c r="V215" s="9" t="s">
        <v>1838</v>
      </c>
      <c r="W215" s="9" t="s">
        <v>1838</v>
      </c>
      <c r="X215" s="9" t="s">
        <v>1838</v>
      </c>
      <c r="Y215" s="9" t="s">
        <v>1841</v>
      </c>
      <c r="Z215">
        <v>4842179.1619999995</v>
      </c>
      <c r="AA215">
        <v>12553041.036323847</v>
      </c>
      <c r="AB215" s="9" t="s">
        <v>1850</v>
      </c>
      <c r="AC215" s="9" t="s">
        <v>1838</v>
      </c>
    </row>
    <row r="216" spans="1:29">
      <c r="A216" s="9" t="s">
        <v>860</v>
      </c>
      <c r="B216" s="9" t="s">
        <v>56</v>
      </c>
      <c r="C216" s="9" t="s">
        <v>102</v>
      </c>
      <c r="D216" s="9" t="s">
        <v>58</v>
      </c>
      <c r="E216">
        <v>2024</v>
      </c>
      <c r="F216">
        <v>2264871</v>
      </c>
      <c r="G216">
        <v>9.4000000000000004E-3</v>
      </c>
      <c r="H216">
        <v>21289.79</v>
      </c>
      <c r="I216" s="9" t="s">
        <v>861</v>
      </c>
      <c r="J216" s="9" t="s">
        <v>862</v>
      </c>
      <c r="K216" s="9" t="s">
        <v>707</v>
      </c>
      <c r="L216">
        <v>2580111</v>
      </c>
      <c r="M216" s="8">
        <v>44496</v>
      </c>
      <c r="N216" s="9" t="s">
        <v>57</v>
      </c>
      <c r="O216">
        <v>9.4000000000000004E-3</v>
      </c>
      <c r="P216">
        <v>1</v>
      </c>
      <c r="Q216" s="9" t="s">
        <v>1823</v>
      </c>
      <c r="R216" s="9" t="s">
        <v>1838</v>
      </c>
      <c r="S216" s="9" t="s">
        <v>1845</v>
      </c>
      <c r="T216" s="9" t="s">
        <v>1838</v>
      </c>
      <c r="U216" s="9" t="s">
        <v>1840</v>
      </c>
      <c r="V216" s="9" t="s">
        <v>1838</v>
      </c>
      <c r="W216" s="9" t="s">
        <v>1838</v>
      </c>
      <c r="X216" s="9" t="s">
        <v>1838</v>
      </c>
      <c r="Y216" s="9" t="s">
        <v>1841</v>
      </c>
      <c r="Z216">
        <v>4842179.1619999995</v>
      </c>
      <c r="AA216">
        <v>12553041.036323847</v>
      </c>
      <c r="AB216" s="9" t="s">
        <v>1850</v>
      </c>
      <c r="AC216" s="9" t="s">
        <v>1843</v>
      </c>
    </row>
    <row r="217" spans="1:29">
      <c r="A217" s="9" t="s">
        <v>863</v>
      </c>
      <c r="B217" s="9" t="s">
        <v>63</v>
      </c>
      <c r="C217" s="9" t="s">
        <v>64</v>
      </c>
      <c r="D217" s="9" t="s">
        <v>71</v>
      </c>
      <c r="E217">
        <v>2022</v>
      </c>
      <c r="F217">
        <v>7028134</v>
      </c>
      <c r="G217">
        <v>1.7500000000000002E-2</v>
      </c>
      <c r="H217">
        <v>130020.48</v>
      </c>
      <c r="I217" s="9" t="s">
        <v>864</v>
      </c>
      <c r="J217" s="9" t="s">
        <v>865</v>
      </c>
      <c r="K217" s="9" t="s">
        <v>866</v>
      </c>
      <c r="L217">
        <v>8029837</v>
      </c>
      <c r="M217" s="8">
        <v>43658</v>
      </c>
      <c r="N217" s="9" t="s">
        <v>64</v>
      </c>
      <c r="O217">
        <v>1.8499999999999999E-2</v>
      </c>
      <c r="P217">
        <v>1</v>
      </c>
      <c r="Q217" s="9" t="s">
        <v>1822</v>
      </c>
      <c r="R217" s="9" t="s">
        <v>1838</v>
      </c>
      <c r="S217" s="9" t="s">
        <v>1839</v>
      </c>
      <c r="T217" s="9" t="s">
        <v>1838</v>
      </c>
      <c r="U217" s="9" t="s">
        <v>1840</v>
      </c>
      <c r="V217" s="9" t="s">
        <v>1838</v>
      </c>
      <c r="W217" s="9" t="s">
        <v>1838</v>
      </c>
      <c r="X217" s="9" t="s">
        <v>1838</v>
      </c>
      <c r="Y217" s="9" t="s">
        <v>1841</v>
      </c>
      <c r="Z217">
        <v>4842179.1619999995</v>
      </c>
      <c r="AA217">
        <v>12553041.036323847</v>
      </c>
      <c r="AB217" s="9" t="s">
        <v>1850</v>
      </c>
      <c r="AC217" s="9" t="s">
        <v>1838</v>
      </c>
    </row>
    <row r="218" spans="1:29">
      <c r="A218" s="9" t="s">
        <v>867</v>
      </c>
      <c r="B218" s="9" t="s">
        <v>69</v>
      </c>
      <c r="C218" s="9" t="s">
        <v>70</v>
      </c>
      <c r="D218" s="9" t="s">
        <v>58</v>
      </c>
      <c r="E218">
        <v>2024</v>
      </c>
      <c r="F218">
        <v>3685127</v>
      </c>
      <c r="G218">
        <v>9.5999999999999992E-3</v>
      </c>
      <c r="H218">
        <v>35377.22</v>
      </c>
      <c r="I218" s="9" t="s">
        <v>868</v>
      </c>
      <c r="J218" s="9" t="s">
        <v>869</v>
      </c>
      <c r="K218" s="9" t="s">
        <v>870</v>
      </c>
      <c r="L218">
        <v>3895493</v>
      </c>
      <c r="M218" s="8">
        <v>45595</v>
      </c>
      <c r="N218" s="9" t="s">
        <v>70</v>
      </c>
      <c r="O218">
        <v>9.5999999999999992E-3</v>
      </c>
      <c r="P218">
        <v>1</v>
      </c>
      <c r="Q218" s="9" t="s">
        <v>1823</v>
      </c>
      <c r="R218" s="9" t="s">
        <v>1838</v>
      </c>
      <c r="S218" s="9" t="s">
        <v>1839</v>
      </c>
      <c r="T218" s="9" t="s">
        <v>1838</v>
      </c>
      <c r="U218" s="9" t="s">
        <v>1840</v>
      </c>
      <c r="V218" s="9" t="s">
        <v>1838</v>
      </c>
      <c r="W218" s="9" t="s">
        <v>1838</v>
      </c>
      <c r="X218" s="9" t="s">
        <v>1838</v>
      </c>
      <c r="Y218" s="9" t="s">
        <v>1841</v>
      </c>
      <c r="Z218">
        <v>4842179.1619999995</v>
      </c>
      <c r="AA218">
        <v>12553041.036323847</v>
      </c>
      <c r="AB218" s="9" t="s">
        <v>1850</v>
      </c>
      <c r="AC218" s="9" t="s">
        <v>1838</v>
      </c>
    </row>
    <row r="219" spans="1:29">
      <c r="A219" s="9" t="s">
        <v>871</v>
      </c>
      <c r="B219" s="9" t="s">
        <v>49</v>
      </c>
      <c r="C219" s="9" t="s">
        <v>50</v>
      </c>
      <c r="D219" s="9" t="s">
        <v>97</v>
      </c>
      <c r="E219">
        <v>2022</v>
      </c>
      <c r="F219">
        <v>3503817</v>
      </c>
      <c r="G219">
        <v>2.01E-2</v>
      </c>
      <c r="H219">
        <v>70426.720000000001</v>
      </c>
      <c r="I219" s="9" t="s">
        <v>872</v>
      </c>
      <c r="J219" s="9" t="s">
        <v>873</v>
      </c>
      <c r="K219" s="9" t="s">
        <v>874</v>
      </c>
      <c r="L219">
        <v>3341927</v>
      </c>
      <c r="M219" s="8">
        <v>44787</v>
      </c>
      <c r="N219" s="9" t="s">
        <v>50</v>
      </c>
      <c r="O219">
        <v>2.01E-2</v>
      </c>
      <c r="P219">
        <v>1</v>
      </c>
      <c r="Q219" s="9" t="s">
        <v>1821</v>
      </c>
      <c r="R219" s="9" t="s">
        <v>1838</v>
      </c>
      <c r="S219" s="9" t="s">
        <v>1839</v>
      </c>
      <c r="T219" s="9" t="s">
        <v>1838</v>
      </c>
      <c r="U219" s="9" t="s">
        <v>1840</v>
      </c>
      <c r="V219" s="9" t="s">
        <v>1838</v>
      </c>
      <c r="W219" s="9" t="s">
        <v>1838</v>
      </c>
      <c r="X219" s="9" t="s">
        <v>1838</v>
      </c>
      <c r="Y219" s="9" t="s">
        <v>1841</v>
      </c>
      <c r="Z219">
        <v>4842179.1619999995</v>
      </c>
      <c r="AA219">
        <v>12553041.036323847</v>
      </c>
      <c r="AB219" s="9" t="s">
        <v>1850</v>
      </c>
      <c r="AC219" s="9" t="s">
        <v>1838</v>
      </c>
    </row>
    <row r="220" spans="1:29">
      <c r="A220" s="9" t="s">
        <v>875</v>
      </c>
      <c r="B220" s="9" t="s">
        <v>87</v>
      </c>
      <c r="C220" s="9" t="s">
        <v>88</v>
      </c>
      <c r="D220" s="9" t="s">
        <v>51</v>
      </c>
      <c r="E220">
        <v>2023</v>
      </c>
      <c r="F220">
        <v>764276</v>
      </c>
      <c r="G220">
        <v>1.2500000000000001E-2</v>
      </c>
      <c r="H220">
        <v>9553.4500000000007</v>
      </c>
      <c r="I220" s="9" t="s">
        <v>876</v>
      </c>
      <c r="J220" s="9" t="s">
        <v>877</v>
      </c>
      <c r="K220" s="9" t="s">
        <v>404</v>
      </c>
      <c r="L220">
        <v>833120</v>
      </c>
      <c r="M220" s="8">
        <v>44657</v>
      </c>
      <c r="N220" s="9" t="s">
        <v>88</v>
      </c>
      <c r="O220">
        <v>1.2500000000000001E-2</v>
      </c>
      <c r="P220">
        <v>1</v>
      </c>
      <c r="Q220" s="9" t="s">
        <v>1820</v>
      </c>
      <c r="R220" s="9" t="s">
        <v>1838</v>
      </c>
      <c r="S220" s="9" t="s">
        <v>1839</v>
      </c>
      <c r="T220" s="9" t="s">
        <v>1838</v>
      </c>
      <c r="U220" s="9" t="s">
        <v>1840</v>
      </c>
      <c r="V220" s="9" t="s">
        <v>1838</v>
      </c>
      <c r="W220" s="9" t="s">
        <v>1838</v>
      </c>
      <c r="X220" s="9" t="s">
        <v>1838</v>
      </c>
      <c r="Y220" s="9" t="s">
        <v>1841</v>
      </c>
      <c r="Z220">
        <v>4842179.1619999995</v>
      </c>
      <c r="AA220">
        <v>12553041.036323847</v>
      </c>
      <c r="AB220" s="9" t="s">
        <v>1850</v>
      </c>
      <c r="AC220" s="9" t="s">
        <v>1838</v>
      </c>
    </row>
    <row r="221" spans="1:29">
      <c r="A221" s="9" t="s">
        <v>878</v>
      </c>
      <c r="B221" s="9" t="s">
        <v>49</v>
      </c>
      <c r="C221" s="9" t="s">
        <v>64</v>
      </c>
      <c r="D221" s="9" t="s">
        <v>71</v>
      </c>
      <c r="E221">
        <v>2022</v>
      </c>
      <c r="F221">
        <v>8579819</v>
      </c>
      <c r="G221">
        <v>1.8100000000000002E-2</v>
      </c>
      <c r="H221">
        <v>155294.72</v>
      </c>
      <c r="I221" s="9" t="s">
        <v>879</v>
      </c>
      <c r="J221" s="9" t="s">
        <v>880</v>
      </c>
      <c r="K221" s="9" t="s">
        <v>881</v>
      </c>
      <c r="L221">
        <v>9771496</v>
      </c>
      <c r="M221" s="8">
        <v>44780</v>
      </c>
      <c r="N221" s="9" t="s">
        <v>50</v>
      </c>
      <c r="O221">
        <v>1.8100000000000002E-2</v>
      </c>
      <c r="P221">
        <v>1</v>
      </c>
      <c r="Q221" s="9" t="s">
        <v>1822</v>
      </c>
      <c r="R221" s="9" t="s">
        <v>1838</v>
      </c>
      <c r="S221" s="9" t="s">
        <v>1845</v>
      </c>
      <c r="T221" s="9" t="s">
        <v>1838</v>
      </c>
      <c r="U221" s="9" t="s">
        <v>1840</v>
      </c>
      <c r="V221" s="9" t="s">
        <v>1838</v>
      </c>
      <c r="W221" s="9" t="s">
        <v>1838</v>
      </c>
      <c r="X221" s="9" t="s">
        <v>1838</v>
      </c>
      <c r="Y221" s="9" t="s">
        <v>1841</v>
      </c>
      <c r="Z221">
        <v>4842179.1619999995</v>
      </c>
      <c r="AA221">
        <v>12553041.036323847</v>
      </c>
      <c r="AB221" s="9" t="s">
        <v>1850</v>
      </c>
      <c r="AC221" s="9" t="s">
        <v>1843</v>
      </c>
    </row>
    <row r="222" spans="1:29">
      <c r="A222" s="9" t="s">
        <v>882</v>
      </c>
      <c r="B222" s="9" t="s">
        <v>69</v>
      </c>
      <c r="C222" s="9" t="s">
        <v>70</v>
      </c>
      <c r="D222" s="9" t="s">
        <v>51</v>
      </c>
      <c r="E222">
        <v>2024</v>
      </c>
      <c r="F222">
        <v>608183</v>
      </c>
      <c r="G222">
        <v>1.26E-2</v>
      </c>
      <c r="H222">
        <v>7563.11</v>
      </c>
      <c r="I222" s="9" t="s">
        <v>883</v>
      </c>
      <c r="J222" s="9" t="s">
        <v>884</v>
      </c>
      <c r="K222" s="9" t="s">
        <v>95</v>
      </c>
      <c r="L222">
        <v>582997</v>
      </c>
      <c r="M222" s="8">
        <v>45298</v>
      </c>
      <c r="N222" s="9" t="s">
        <v>70</v>
      </c>
      <c r="O222">
        <v>1.26E-2</v>
      </c>
      <c r="P222">
        <v>1</v>
      </c>
      <c r="Q222" s="9" t="s">
        <v>1820</v>
      </c>
      <c r="R222" s="9" t="s">
        <v>1838</v>
      </c>
      <c r="S222" s="9" t="s">
        <v>1839</v>
      </c>
      <c r="T222" s="9" t="s">
        <v>1845</v>
      </c>
      <c r="U222" s="9" t="s">
        <v>1840</v>
      </c>
      <c r="V222" s="9" t="s">
        <v>1838</v>
      </c>
      <c r="W222" s="9" t="s">
        <v>1838</v>
      </c>
      <c r="X222" s="9" t="s">
        <v>1838</v>
      </c>
      <c r="Y222" s="9" t="s">
        <v>1841</v>
      </c>
      <c r="Z222">
        <v>4842179.1619999995</v>
      </c>
      <c r="AA222">
        <v>12553041.036323847</v>
      </c>
      <c r="AB222" s="9" t="s">
        <v>1850</v>
      </c>
      <c r="AC222" s="9" t="s">
        <v>1843</v>
      </c>
    </row>
    <row r="223" spans="1:29">
      <c r="A223" s="9" t="s">
        <v>885</v>
      </c>
      <c r="B223" s="9" t="s">
        <v>56</v>
      </c>
      <c r="C223" s="9" t="s">
        <v>57</v>
      </c>
      <c r="D223" s="9" t="s">
        <v>51</v>
      </c>
      <c r="E223">
        <v>2021</v>
      </c>
      <c r="F223">
        <v>574639</v>
      </c>
      <c r="G223">
        <v>1.24E-2</v>
      </c>
      <c r="H223">
        <v>7125.52</v>
      </c>
      <c r="I223" s="9" t="s">
        <v>886</v>
      </c>
      <c r="J223" s="9" t="s">
        <v>887</v>
      </c>
      <c r="K223" s="9" t="s">
        <v>888</v>
      </c>
      <c r="L223">
        <v>534778</v>
      </c>
      <c r="M223" s="8">
        <v>43688</v>
      </c>
      <c r="N223" s="9" t="s">
        <v>57</v>
      </c>
      <c r="O223">
        <v>1.24E-2</v>
      </c>
      <c r="P223">
        <v>1</v>
      </c>
      <c r="Q223" s="9" t="s">
        <v>1820</v>
      </c>
      <c r="R223" s="9" t="s">
        <v>1838</v>
      </c>
      <c r="S223" s="9" t="s">
        <v>1839</v>
      </c>
      <c r="T223" s="9" t="s">
        <v>1838</v>
      </c>
      <c r="U223" s="9" t="s">
        <v>1840</v>
      </c>
      <c r="V223" s="9" t="s">
        <v>1838</v>
      </c>
      <c r="W223" s="9" t="s">
        <v>1838</v>
      </c>
      <c r="X223" s="9" t="s">
        <v>1838</v>
      </c>
      <c r="Y223" s="9" t="s">
        <v>1841</v>
      </c>
      <c r="Z223">
        <v>4842179.1619999995</v>
      </c>
      <c r="AA223">
        <v>12553041.036323847</v>
      </c>
      <c r="AB223" s="9" t="s">
        <v>1850</v>
      </c>
      <c r="AC223" s="9" t="s">
        <v>1838</v>
      </c>
    </row>
    <row r="224" spans="1:29">
      <c r="A224" s="9" t="s">
        <v>889</v>
      </c>
      <c r="B224" s="9" t="s">
        <v>131</v>
      </c>
      <c r="C224" s="9" t="s">
        <v>132</v>
      </c>
      <c r="D224" s="9" t="s">
        <v>71</v>
      </c>
      <c r="E224">
        <v>2021</v>
      </c>
      <c r="F224">
        <v>5470086</v>
      </c>
      <c r="G224">
        <v>1.8800000000000001E-2</v>
      </c>
      <c r="H224">
        <v>102837.62</v>
      </c>
      <c r="I224" s="9" t="s">
        <v>890</v>
      </c>
      <c r="J224" s="9" t="s">
        <v>891</v>
      </c>
      <c r="K224" s="9" t="s">
        <v>892</v>
      </c>
      <c r="L224">
        <v>6351223</v>
      </c>
      <c r="M224" s="8">
        <v>43652</v>
      </c>
      <c r="N224" s="9" t="s">
        <v>132</v>
      </c>
      <c r="O224">
        <v>1.8800000000000001E-2</v>
      </c>
      <c r="P224">
        <v>1</v>
      </c>
      <c r="Q224" s="9" t="s">
        <v>1822</v>
      </c>
      <c r="R224" s="9" t="s">
        <v>1838</v>
      </c>
      <c r="S224" s="9" t="s">
        <v>1839</v>
      </c>
      <c r="T224" s="9" t="s">
        <v>1838</v>
      </c>
      <c r="U224" s="9" t="s">
        <v>1840</v>
      </c>
      <c r="V224" s="9" t="s">
        <v>1838</v>
      </c>
      <c r="W224" s="9" t="s">
        <v>1838</v>
      </c>
      <c r="X224" s="9" t="s">
        <v>1838</v>
      </c>
      <c r="Y224" s="9" t="s">
        <v>1841</v>
      </c>
      <c r="Z224">
        <v>4842179.1619999995</v>
      </c>
      <c r="AA224">
        <v>12553041.036323847</v>
      </c>
      <c r="AB224" s="9" t="s">
        <v>1850</v>
      </c>
      <c r="AC224" s="9" t="s">
        <v>1838</v>
      </c>
    </row>
    <row r="225" spans="1:29">
      <c r="A225" s="9" t="s">
        <v>893</v>
      </c>
      <c r="B225" s="9" t="s">
        <v>49</v>
      </c>
      <c r="C225" s="9" t="s">
        <v>50</v>
      </c>
      <c r="D225" s="9" t="s">
        <v>71</v>
      </c>
      <c r="E225">
        <v>2021</v>
      </c>
      <c r="F225">
        <v>3559408</v>
      </c>
      <c r="G225">
        <v>1.8100000000000002E-2</v>
      </c>
      <c r="H225">
        <v>64425.279999999999</v>
      </c>
      <c r="I225" s="9" t="s">
        <v>894</v>
      </c>
      <c r="J225" s="9" t="s">
        <v>895</v>
      </c>
      <c r="K225" s="9" t="s">
        <v>896</v>
      </c>
      <c r="L225">
        <v>3690563</v>
      </c>
      <c r="M225" s="8">
        <v>45701</v>
      </c>
      <c r="N225" s="9" t="s">
        <v>50</v>
      </c>
      <c r="O225">
        <v>1.8100000000000002E-2</v>
      </c>
      <c r="P225">
        <v>1</v>
      </c>
      <c r="Q225" s="9" t="s">
        <v>1822</v>
      </c>
      <c r="R225" s="9" t="s">
        <v>1838</v>
      </c>
      <c r="S225" s="9" t="s">
        <v>1839</v>
      </c>
      <c r="T225" s="9" t="s">
        <v>1838</v>
      </c>
      <c r="U225" s="9" t="s">
        <v>1840</v>
      </c>
      <c r="V225" s="9" t="s">
        <v>1838</v>
      </c>
      <c r="W225" s="9" t="s">
        <v>1838</v>
      </c>
      <c r="X225" s="9" t="s">
        <v>1838</v>
      </c>
      <c r="Y225" s="9" t="s">
        <v>1841</v>
      </c>
      <c r="Z225">
        <v>4842179.1619999995</v>
      </c>
      <c r="AA225">
        <v>12553041.036323847</v>
      </c>
      <c r="AB225" s="9" t="s">
        <v>1850</v>
      </c>
      <c r="AC225" s="9" t="s">
        <v>1838</v>
      </c>
    </row>
    <row r="226" spans="1:29">
      <c r="A226" s="9" t="s">
        <v>897</v>
      </c>
      <c r="B226" s="9" t="s">
        <v>137</v>
      </c>
      <c r="C226" s="9" t="s">
        <v>138</v>
      </c>
      <c r="D226" s="9" t="s">
        <v>535</v>
      </c>
      <c r="E226">
        <v>2023</v>
      </c>
      <c r="F226">
        <v>3244975</v>
      </c>
      <c r="G226">
        <v>2.07E-2</v>
      </c>
      <c r="H226">
        <v>67170.98</v>
      </c>
      <c r="I226" s="9" t="s">
        <v>898</v>
      </c>
      <c r="J226" s="9" t="s">
        <v>899</v>
      </c>
      <c r="K226" s="9" t="s">
        <v>568</v>
      </c>
      <c r="L226">
        <v>3159043</v>
      </c>
      <c r="M226" s="8">
        <v>45349</v>
      </c>
      <c r="N226" s="9" t="s">
        <v>138</v>
      </c>
      <c r="P226">
        <v>1</v>
      </c>
      <c r="Q226" s="9"/>
      <c r="R226" s="9" t="s">
        <v>1838</v>
      </c>
      <c r="S226" s="9" t="s">
        <v>1839</v>
      </c>
      <c r="T226" s="9" t="s">
        <v>1845</v>
      </c>
      <c r="U226" s="9" t="s">
        <v>1840</v>
      </c>
      <c r="V226" s="9" t="s">
        <v>1838</v>
      </c>
      <c r="W226" s="9" t="s">
        <v>1842</v>
      </c>
      <c r="X226" s="9" t="s">
        <v>1838</v>
      </c>
      <c r="Y226" s="9" t="s">
        <v>1841</v>
      </c>
      <c r="Z226">
        <v>4842179.1619999995</v>
      </c>
      <c r="AA226">
        <v>12553041.036323847</v>
      </c>
      <c r="AB226" s="9" t="s">
        <v>1850</v>
      </c>
      <c r="AC226" s="9" t="s">
        <v>1843</v>
      </c>
    </row>
    <row r="227" spans="1:29">
      <c r="A227" s="9" t="s">
        <v>900</v>
      </c>
      <c r="B227" s="9" t="s">
        <v>150</v>
      </c>
      <c r="C227" s="9" t="s">
        <v>151</v>
      </c>
      <c r="D227" s="9" t="s">
        <v>97</v>
      </c>
      <c r="E227">
        <v>2024</v>
      </c>
      <c r="F227">
        <v>4510158</v>
      </c>
      <c r="G227">
        <v>2.0299999999999999E-2</v>
      </c>
      <c r="H227">
        <v>91556.21</v>
      </c>
      <c r="I227" s="9" t="s">
        <v>901</v>
      </c>
      <c r="J227" s="9" t="s">
        <v>902</v>
      </c>
      <c r="K227" s="9" t="s">
        <v>568</v>
      </c>
      <c r="L227">
        <v>4214160</v>
      </c>
      <c r="M227" s="8">
        <v>45683</v>
      </c>
      <c r="N227" s="9" t="s">
        <v>151</v>
      </c>
      <c r="O227">
        <v>2.0299999999999999E-2</v>
      </c>
      <c r="P227">
        <v>1</v>
      </c>
      <c r="Q227" s="9" t="s">
        <v>1821</v>
      </c>
      <c r="R227" s="9" t="s">
        <v>1838</v>
      </c>
      <c r="S227" s="9" t="s">
        <v>1839</v>
      </c>
      <c r="T227" s="9" t="s">
        <v>1838</v>
      </c>
      <c r="U227" s="9" t="s">
        <v>1840</v>
      </c>
      <c r="V227" s="9" t="s">
        <v>1838</v>
      </c>
      <c r="W227" s="9" t="s">
        <v>1838</v>
      </c>
      <c r="X227" s="9" t="s">
        <v>1838</v>
      </c>
      <c r="Y227" s="9" t="s">
        <v>1841</v>
      </c>
      <c r="Z227">
        <v>4842179.1619999995</v>
      </c>
      <c r="AA227">
        <v>12553041.036323847</v>
      </c>
      <c r="AB227" s="9" t="s">
        <v>1850</v>
      </c>
      <c r="AC227" s="9" t="s">
        <v>1838</v>
      </c>
    </row>
    <row r="228" spans="1:29">
      <c r="A228" s="9" t="s">
        <v>903</v>
      </c>
      <c r="B228" s="9" t="s">
        <v>87</v>
      </c>
      <c r="C228" s="9" t="s">
        <v>88</v>
      </c>
      <c r="D228" s="9" t="s">
        <v>58</v>
      </c>
      <c r="E228">
        <v>2023</v>
      </c>
      <c r="F228">
        <v>1360107</v>
      </c>
      <c r="G228">
        <v>9.4999999999999998E-3</v>
      </c>
      <c r="H228">
        <v>12921.02</v>
      </c>
      <c r="I228" s="9" t="s">
        <v>904</v>
      </c>
      <c r="J228" s="9" t="s">
        <v>905</v>
      </c>
      <c r="K228" s="9" t="s">
        <v>906</v>
      </c>
      <c r="L228">
        <v>1502183</v>
      </c>
      <c r="M228" s="8">
        <v>44989</v>
      </c>
      <c r="N228" s="9" t="s">
        <v>88</v>
      </c>
      <c r="O228">
        <v>9.4999999999999998E-3</v>
      </c>
      <c r="P228">
        <v>1</v>
      </c>
      <c r="Q228" s="9" t="s">
        <v>1823</v>
      </c>
      <c r="R228" s="9" t="s">
        <v>1838</v>
      </c>
      <c r="S228" s="9" t="s">
        <v>1839</v>
      </c>
      <c r="T228" s="9" t="s">
        <v>1838</v>
      </c>
      <c r="U228" s="9" t="s">
        <v>1840</v>
      </c>
      <c r="V228" s="9" t="s">
        <v>1838</v>
      </c>
      <c r="W228" s="9" t="s">
        <v>1838</v>
      </c>
      <c r="X228" s="9" t="s">
        <v>1838</v>
      </c>
      <c r="Y228" s="9" t="s">
        <v>1841</v>
      </c>
      <c r="Z228">
        <v>4842179.1619999995</v>
      </c>
      <c r="AA228">
        <v>12553041.036323847</v>
      </c>
      <c r="AB228" s="9" t="s">
        <v>1850</v>
      </c>
      <c r="AC228" s="9" t="s">
        <v>1838</v>
      </c>
    </row>
    <row r="229" spans="1:29">
      <c r="A229" s="9" t="s">
        <v>907</v>
      </c>
      <c r="B229" s="9" t="s">
        <v>87</v>
      </c>
      <c r="C229" s="9" t="s">
        <v>88</v>
      </c>
      <c r="D229" s="9" t="s">
        <v>71</v>
      </c>
      <c r="E229">
        <v>2023</v>
      </c>
      <c r="F229">
        <v>9963499</v>
      </c>
      <c r="G229">
        <v>1.8499999999999999E-2</v>
      </c>
      <c r="H229">
        <v>184324.73</v>
      </c>
      <c r="I229" s="9" t="s">
        <v>908</v>
      </c>
      <c r="J229" s="9" t="s">
        <v>909</v>
      </c>
      <c r="K229" s="9" t="s">
        <v>910</v>
      </c>
      <c r="L229">
        <v>10032398</v>
      </c>
      <c r="M229" s="8">
        <v>44960</v>
      </c>
      <c r="N229" s="9" t="s">
        <v>88</v>
      </c>
      <c r="O229">
        <v>1.8499999999999999E-2</v>
      </c>
      <c r="P229">
        <v>1</v>
      </c>
      <c r="Q229" s="9" t="s">
        <v>1822</v>
      </c>
      <c r="R229" s="9" t="s">
        <v>1838</v>
      </c>
      <c r="S229" s="9" t="s">
        <v>1839</v>
      </c>
      <c r="T229" s="9" t="s">
        <v>1838</v>
      </c>
      <c r="U229" s="9" t="s">
        <v>1840</v>
      </c>
      <c r="V229" s="9" t="s">
        <v>1838</v>
      </c>
      <c r="W229" s="9" t="s">
        <v>1838</v>
      </c>
      <c r="X229" s="9" t="s">
        <v>1838</v>
      </c>
      <c r="Y229" s="9" t="s">
        <v>1841</v>
      </c>
      <c r="Z229">
        <v>4842179.1619999995</v>
      </c>
      <c r="AA229">
        <v>12553041.036323847</v>
      </c>
      <c r="AB229" s="9" t="s">
        <v>1850</v>
      </c>
      <c r="AC229" s="9" t="s">
        <v>1838</v>
      </c>
    </row>
    <row r="230" spans="1:29">
      <c r="A230" s="9" t="s">
        <v>911</v>
      </c>
      <c r="B230" s="9" t="s">
        <v>49</v>
      </c>
      <c r="C230" s="9" t="s">
        <v>50</v>
      </c>
      <c r="D230" s="9" t="s">
        <v>97</v>
      </c>
      <c r="E230">
        <v>2021</v>
      </c>
      <c r="F230">
        <v>42081010</v>
      </c>
      <c r="G230">
        <v>2.01E-2</v>
      </c>
      <c r="H230">
        <v>845828.3</v>
      </c>
      <c r="I230" s="9" t="s">
        <v>912</v>
      </c>
      <c r="J230" s="9" t="s">
        <v>913</v>
      </c>
      <c r="K230" s="9" t="s">
        <v>914</v>
      </c>
      <c r="L230">
        <v>3716132</v>
      </c>
      <c r="M230" s="8">
        <v>44533</v>
      </c>
      <c r="N230" s="9" t="s">
        <v>50</v>
      </c>
      <c r="O230">
        <v>2.01E-2</v>
      </c>
      <c r="P230">
        <v>1</v>
      </c>
      <c r="Q230" s="9" t="s">
        <v>1821</v>
      </c>
      <c r="R230" s="9" t="s">
        <v>1838</v>
      </c>
      <c r="S230" s="9" t="s">
        <v>1839</v>
      </c>
      <c r="T230" s="9" t="s">
        <v>1838</v>
      </c>
      <c r="U230" s="9" t="s">
        <v>1840</v>
      </c>
      <c r="V230" s="9" t="s">
        <v>1838</v>
      </c>
      <c r="W230" s="9" t="s">
        <v>1838</v>
      </c>
      <c r="X230" s="9" t="s">
        <v>1838</v>
      </c>
      <c r="Y230" s="9" t="s">
        <v>1841</v>
      </c>
      <c r="Z230">
        <v>4842179.1619999995</v>
      </c>
      <c r="AA230">
        <v>12553041.036323847</v>
      </c>
      <c r="AB230" s="9" t="s">
        <v>1850</v>
      </c>
      <c r="AC230" s="9" t="s">
        <v>1838</v>
      </c>
    </row>
    <row r="231" spans="1:29">
      <c r="A231" s="9" t="s">
        <v>915</v>
      </c>
      <c r="B231" s="9" t="s">
        <v>56</v>
      </c>
      <c r="C231" s="9" t="s">
        <v>57</v>
      </c>
      <c r="D231" s="9" t="s">
        <v>82</v>
      </c>
      <c r="E231">
        <v>2024</v>
      </c>
      <c r="F231">
        <v>8910117</v>
      </c>
      <c r="G231">
        <v>1.47E-2</v>
      </c>
      <c r="H231">
        <v>130978.72</v>
      </c>
      <c r="I231" s="9" t="s">
        <v>916</v>
      </c>
      <c r="J231" s="9" t="s">
        <v>917</v>
      </c>
      <c r="K231" s="9" t="s">
        <v>918</v>
      </c>
      <c r="L231">
        <v>10085695</v>
      </c>
      <c r="M231" s="8">
        <v>45454</v>
      </c>
      <c r="N231" s="9" t="s">
        <v>57</v>
      </c>
      <c r="O231">
        <v>1.47E-2</v>
      </c>
      <c r="P231">
        <v>1</v>
      </c>
      <c r="Q231" s="9" t="s">
        <v>1824</v>
      </c>
      <c r="R231" s="9" t="s">
        <v>1838</v>
      </c>
      <c r="S231" s="9" t="s">
        <v>1839</v>
      </c>
      <c r="T231" s="9" t="s">
        <v>1838</v>
      </c>
      <c r="U231" s="9" t="s">
        <v>1840</v>
      </c>
      <c r="V231" s="9" t="s">
        <v>1838</v>
      </c>
      <c r="W231" s="9" t="s">
        <v>1838</v>
      </c>
      <c r="X231" s="9" t="s">
        <v>1838</v>
      </c>
      <c r="Y231" s="9" t="s">
        <v>1841</v>
      </c>
      <c r="Z231">
        <v>4842179.1619999995</v>
      </c>
      <c r="AA231">
        <v>12553041.036323847</v>
      </c>
      <c r="AB231" s="9" t="s">
        <v>1850</v>
      </c>
      <c r="AC231" s="9" t="s">
        <v>1838</v>
      </c>
    </row>
    <row r="232" spans="1:29">
      <c r="A232" s="9" t="s">
        <v>919</v>
      </c>
      <c r="B232" s="9" t="s">
        <v>131</v>
      </c>
      <c r="C232" s="9" t="s">
        <v>132</v>
      </c>
      <c r="D232" s="9" t="s">
        <v>82</v>
      </c>
      <c r="E232">
        <v>2022</v>
      </c>
      <c r="F232">
        <v>6501768</v>
      </c>
      <c r="G232">
        <v>1.5100000000000001E-2</v>
      </c>
      <c r="H232">
        <v>98176.7</v>
      </c>
      <c r="I232" s="9" t="s">
        <v>920</v>
      </c>
      <c r="J232" s="9" t="s">
        <v>921</v>
      </c>
      <c r="K232" s="9" t="s">
        <v>248</v>
      </c>
      <c r="L232">
        <v>6384128</v>
      </c>
      <c r="M232" s="8">
        <v>44312</v>
      </c>
      <c r="N232" s="9" t="s">
        <v>132</v>
      </c>
      <c r="O232">
        <v>1.5100000000000001E-2</v>
      </c>
      <c r="P232">
        <v>1</v>
      </c>
      <c r="Q232" s="9" t="s">
        <v>1824</v>
      </c>
      <c r="R232" s="9" t="s">
        <v>1838</v>
      </c>
      <c r="S232" s="9" t="s">
        <v>1839</v>
      </c>
      <c r="T232" s="9" t="s">
        <v>1838</v>
      </c>
      <c r="U232" s="9" t="s">
        <v>1840</v>
      </c>
      <c r="V232" s="9" t="s">
        <v>1838</v>
      </c>
      <c r="W232" s="9" t="s">
        <v>1838</v>
      </c>
      <c r="X232" s="9" t="s">
        <v>1838</v>
      </c>
      <c r="Y232" s="9" t="s">
        <v>1841</v>
      </c>
      <c r="Z232">
        <v>4842179.1619999995</v>
      </c>
      <c r="AA232">
        <v>12553041.036323847</v>
      </c>
      <c r="AB232" s="9" t="s">
        <v>1850</v>
      </c>
      <c r="AC232" s="9" t="s">
        <v>1838</v>
      </c>
    </row>
    <row r="233" spans="1:29">
      <c r="A233" s="9" t="s">
        <v>922</v>
      </c>
      <c r="B233" s="9" t="s">
        <v>56</v>
      </c>
      <c r="C233" s="9" t="s">
        <v>57</v>
      </c>
      <c r="D233" s="9" t="s">
        <v>71</v>
      </c>
      <c r="E233">
        <v>2024</v>
      </c>
      <c r="F233">
        <v>4706011</v>
      </c>
      <c r="G233">
        <v>1.84E-2</v>
      </c>
      <c r="H233">
        <v>86590.6</v>
      </c>
      <c r="I233" s="9" t="s">
        <v>923</v>
      </c>
      <c r="J233" s="9" t="s">
        <v>924</v>
      </c>
      <c r="K233" s="9" t="s">
        <v>209</v>
      </c>
      <c r="L233">
        <v>5203378</v>
      </c>
      <c r="M233" s="8">
        <v>44356</v>
      </c>
      <c r="N233" s="9" t="s">
        <v>57</v>
      </c>
      <c r="O233">
        <v>1.84E-2</v>
      </c>
      <c r="P233">
        <v>1</v>
      </c>
      <c r="Q233" s="9" t="s">
        <v>1822</v>
      </c>
      <c r="R233" s="9" t="s">
        <v>1838</v>
      </c>
      <c r="S233" s="9" t="s">
        <v>1839</v>
      </c>
      <c r="T233" s="9" t="s">
        <v>1838</v>
      </c>
      <c r="U233" s="9" t="s">
        <v>1840</v>
      </c>
      <c r="V233" s="9" t="s">
        <v>1838</v>
      </c>
      <c r="W233" s="9" t="s">
        <v>1838</v>
      </c>
      <c r="X233" s="9" t="s">
        <v>1838</v>
      </c>
      <c r="Y233" s="9" t="s">
        <v>1841</v>
      </c>
      <c r="Z233">
        <v>4842179.1619999995</v>
      </c>
      <c r="AA233">
        <v>12553041.036323847</v>
      </c>
      <c r="AB233" s="9" t="s">
        <v>1850</v>
      </c>
      <c r="AC233" s="9" t="s">
        <v>1838</v>
      </c>
    </row>
    <row r="234" spans="1:29">
      <c r="A234" s="9" t="s">
        <v>925</v>
      </c>
      <c r="B234" s="9" t="s">
        <v>56</v>
      </c>
      <c r="C234" s="9" t="s">
        <v>57</v>
      </c>
      <c r="D234" s="9" t="s">
        <v>71</v>
      </c>
      <c r="E234">
        <v>2024</v>
      </c>
      <c r="F234">
        <v>10344303</v>
      </c>
      <c r="G234">
        <v>1.84E-2</v>
      </c>
      <c r="H234">
        <v>190335.18</v>
      </c>
      <c r="I234" s="9" t="s">
        <v>926</v>
      </c>
      <c r="J234" s="9" t="s">
        <v>927</v>
      </c>
      <c r="K234" s="9" t="s">
        <v>928</v>
      </c>
      <c r="L234">
        <v>10142556</v>
      </c>
      <c r="M234" s="8">
        <v>45250</v>
      </c>
      <c r="N234" s="9" t="s">
        <v>57</v>
      </c>
      <c r="O234">
        <v>1.84E-2</v>
      </c>
      <c r="P234">
        <v>1</v>
      </c>
      <c r="Q234" s="9" t="s">
        <v>1822</v>
      </c>
      <c r="R234" s="9" t="s">
        <v>1838</v>
      </c>
      <c r="S234" s="9" t="s">
        <v>1839</v>
      </c>
      <c r="T234" s="9" t="s">
        <v>1838</v>
      </c>
      <c r="U234" s="9" t="s">
        <v>1840</v>
      </c>
      <c r="V234" s="9" t="s">
        <v>1838</v>
      </c>
      <c r="W234" s="9" t="s">
        <v>1838</v>
      </c>
      <c r="X234" s="9" t="s">
        <v>1838</v>
      </c>
      <c r="Y234" s="9" t="s">
        <v>1841</v>
      </c>
      <c r="Z234">
        <v>4842179.1619999995</v>
      </c>
      <c r="AA234">
        <v>12553041.036323847</v>
      </c>
      <c r="AB234" s="9" t="s">
        <v>1850</v>
      </c>
      <c r="AC234" s="9" t="s">
        <v>1838</v>
      </c>
    </row>
    <row r="235" spans="1:29">
      <c r="A235" s="9" t="s">
        <v>929</v>
      </c>
      <c r="B235" s="9" t="s">
        <v>137</v>
      </c>
      <c r="C235" s="9" t="s">
        <v>138</v>
      </c>
      <c r="D235" s="9" t="s">
        <v>97</v>
      </c>
      <c r="E235">
        <v>2022</v>
      </c>
      <c r="F235">
        <v>1610512</v>
      </c>
      <c r="G235">
        <v>1.8700000000000001E-2</v>
      </c>
      <c r="H235">
        <v>33337.599999999999</v>
      </c>
      <c r="I235" s="9" t="s">
        <v>930</v>
      </c>
      <c r="J235" s="9" t="s">
        <v>931</v>
      </c>
      <c r="K235" s="9" t="s">
        <v>158</v>
      </c>
      <c r="L235">
        <v>1586813</v>
      </c>
      <c r="M235" s="8">
        <v>43989</v>
      </c>
      <c r="N235" s="9" t="s">
        <v>138</v>
      </c>
      <c r="O235">
        <v>2.07E-2</v>
      </c>
      <c r="P235">
        <v>1</v>
      </c>
      <c r="Q235" s="9" t="s">
        <v>1821</v>
      </c>
      <c r="R235" s="9" t="s">
        <v>1838</v>
      </c>
      <c r="S235" s="9" t="s">
        <v>1839</v>
      </c>
      <c r="T235" s="9" t="s">
        <v>1838</v>
      </c>
      <c r="U235" s="9" t="s">
        <v>1840</v>
      </c>
      <c r="V235" s="9" t="s">
        <v>1838</v>
      </c>
      <c r="W235" s="9" t="s">
        <v>1838</v>
      </c>
      <c r="X235" s="9" t="s">
        <v>1838</v>
      </c>
      <c r="Y235" s="9" t="s">
        <v>1841</v>
      </c>
      <c r="Z235">
        <v>4842179.1619999995</v>
      </c>
      <c r="AA235">
        <v>12553041.036323847</v>
      </c>
      <c r="AB235" s="9" t="s">
        <v>1850</v>
      </c>
      <c r="AC235" s="9" t="s">
        <v>1838</v>
      </c>
    </row>
    <row r="236" spans="1:29">
      <c r="A236" s="9" t="s">
        <v>932</v>
      </c>
      <c r="B236" s="9" t="s">
        <v>87</v>
      </c>
      <c r="C236" s="9" t="s">
        <v>88</v>
      </c>
      <c r="D236" s="9" t="s">
        <v>82</v>
      </c>
      <c r="E236">
        <v>2022</v>
      </c>
      <c r="F236">
        <v>3556141</v>
      </c>
      <c r="G236">
        <v>1.4800000000000001E-2</v>
      </c>
      <c r="H236">
        <v>52630.89</v>
      </c>
      <c r="I236" s="9" t="s">
        <v>933</v>
      </c>
      <c r="J236" s="9" t="s">
        <v>934</v>
      </c>
      <c r="K236" s="9" t="s">
        <v>350</v>
      </c>
      <c r="L236">
        <v>3955439</v>
      </c>
      <c r="M236" s="8">
        <v>45396</v>
      </c>
      <c r="N236" s="9" t="s">
        <v>88</v>
      </c>
      <c r="O236">
        <v>1.4800000000000001E-2</v>
      </c>
      <c r="P236">
        <v>1</v>
      </c>
      <c r="Q236" s="9" t="s">
        <v>1824</v>
      </c>
      <c r="R236" s="9" t="s">
        <v>1838</v>
      </c>
      <c r="S236" s="9" t="s">
        <v>1839</v>
      </c>
      <c r="T236" s="9" t="s">
        <v>1838</v>
      </c>
      <c r="U236" s="9" t="s">
        <v>1840</v>
      </c>
      <c r="V236" s="9" t="s">
        <v>1838</v>
      </c>
      <c r="W236" s="9" t="s">
        <v>1838</v>
      </c>
      <c r="X236" s="9" t="s">
        <v>1838</v>
      </c>
      <c r="Y236" s="9" t="s">
        <v>1841</v>
      </c>
      <c r="Z236">
        <v>4842179.1619999995</v>
      </c>
      <c r="AA236">
        <v>12553041.036323847</v>
      </c>
      <c r="AB236" s="9" t="s">
        <v>1850</v>
      </c>
      <c r="AC236" s="9" t="s">
        <v>1838</v>
      </c>
    </row>
    <row r="237" spans="1:29">
      <c r="A237" s="9" t="s">
        <v>935</v>
      </c>
      <c r="B237" s="9" t="s">
        <v>101</v>
      </c>
      <c r="C237" s="9" t="s">
        <v>102</v>
      </c>
      <c r="D237" s="9" t="s">
        <v>97</v>
      </c>
      <c r="E237">
        <v>2022</v>
      </c>
      <c r="F237">
        <v>4002539</v>
      </c>
      <c r="G237">
        <v>2.0899999999999998E-2</v>
      </c>
      <c r="H237">
        <v>83653.070000000007</v>
      </c>
      <c r="I237" s="9" t="s">
        <v>936</v>
      </c>
      <c r="J237" s="9" t="s">
        <v>937</v>
      </c>
      <c r="K237" s="9" t="s">
        <v>938</v>
      </c>
      <c r="L237">
        <v>4142274</v>
      </c>
      <c r="M237" s="8">
        <v>43910</v>
      </c>
      <c r="N237" s="9" t="s">
        <v>102</v>
      </c>
      <c r="O237">
        <v>2.0899999999999998E-2</v>
      </c>
      <c r="P237">
        <v>1</v>
      </c>
      <c r="Q237" s="9" t="s">
        <v>1821</v>
      </c>
      <c r="R237" s="9" t="s">
        <v>1838</v>
      </c>
      <c r="S237" s="9" t="s">
        <v>1839</v>
      </c>
      <c r="T237" s="9" t="s">
        <v>1838</v>
      </c>
      <c r="U237" s="9" t="s">
        <v>1840</v>
      </c>
      <c r="V237" s="9" t="s">
        <v>1838</v>
      </c>
      <c r="W237" s="9" t="s">
        <v>1838</v>
      </c>
      <c r="X237" s="9" t="s">
        <v>1838</v>
      </c>
      <c r="Y237" s="9" t="s">
        <v>1841</v>
      </c>
      <c r="Z237">
        <v>4842179.1619999995</v>
      </c>
      <c r="AA237">
        <v>12553041.036323847</v>
      </c>
      <c r="AB237" s="9" t="s">
        <v>1850</v>
      </c>
      <c r="AC237" s="9" t="s">
        <v>1838</v>
      </c>
    </row>
    <row r="238" spans="1:29">
      <c r="A238" s="9" t="s">
        <v>939</v>
      </c>
      <c r="B238" s="9" t="s">
        <v>63</v>
      </c>
      <c r="C238" s="9" t="s">
        <v>64</v>
      </c>
      <c r="D238" s="9" t="s">
        <v>97</v>
      </c>
      <c r="E238">
        <v>2024</v>
      </c>
      <c r="F238">
        <v>3980003</v>
      </c>
      <c r="G238">
        <v>1.95E-2</v>
      </c>
      <c r="H238">
        <v>81590.06</v>
      </c>
      <c r="I238" s="9" t="s">
        <v>940</v>
      </c>
      <c r="J238" s="9" t="s">
        <v>941</v>
      </c>
      <c r="K238" s="9" t="s">
        <v>942</v>
      </c>
      <c r="L238">
        <v>3583675</v>
      </c>
      <c r="M238" s="8">
        <v>45586</v>
      </c>
      <c r="N238" s="9" t="s">
        <v>64</v>
      </c>
      <c r="O238">
        <v>2.0500000000000001E-2</v>
      </c>
      <c r="P238">
        <v>1</v>
      </c>
      <c r="Q238" s="9" t="s">
        <v>1821</v>
      </c>
      <c r="R238" s="9" t="s">
        <v>1838</v>
      </c>
      <c r="S238" s="9" t="s">
        <v>1839</v>
      </c>
      <c r="T238" s="9" t="s">
        <v>1838</v>
      </c>
      <c r="U238" s="9" t="s">
        <v>1840</v>
      </c>
      <c r="V238" s="9" t="s">
        <v>1838</v>
      </c>
      <c r="W238" s="9" t="s">
        <v>1838</v>
      </c>
      <c r="X238" s="9" t="s">
        <v>1838</v>
      </c>
      <c r="Y238" s="9" t="s">
        <v>1841</v>
      </c>
      <c r="Z238">
        <v>4842179.1619999995</v>
      </c>
      <c r="AA238">
        <v>12553041.036323847</v>
      </c>
      <c r="AB238" s="9" t="s">
        <v>1850</v>
      </c>
      <c r="AC238" s="9" t="s">
        <v>1838</v>
      </c>
    </row>
    <row r="239" spans="1:29">
      <c r="A239" s="9" t="s">
        <v>943</v>
      </c>
      <c r="B239" s="9" t="s">
        <v>69</v>
      </c>
      <c r="C239" s="9" t="s">
        <v>70</v>
      </c>
      <c r="D239" s="9" t="s">
        <v>82</v>
      </c>
      <c r="E239">
        <v>2024</v>
      </c>
      <c r="F239">
        <v>5739654</v>
      </c>
      <c r="G239">
        <v>1.49E-2</v>
      </c>
      <c r="H239">
        <v>85820.84</v>
      </c>
      <c r="I239" s="9" t="s">
        <v>944</v>
      </c>
      <c r="J239" s="9" t="s">
        <v>945</v>
      </c>
      <c r="K239" s="9" t="s">
        <v>946</v>
      </c>
      <c r="L239">
        <v>6891423</v>
      </c>
      <c r="M239" s="8">
        <v>44777</v>
      </c>
      <c r="N239" s="9" t="s">
        <v>70</v>
      </c>
      <c r="O239">
        <v>1.49E-2</v>
      </c>
      <c r="P239">
        <v>1</v>
      </c>
      <c r="Q239" s="9" t="s">
        <v>1824</v>
      </c>
      <c r="R239" s="9" t="s">
        <v>1838</v>
      </c>
      <c r="S239" s="9" t="s">
        <v>1839</v>
      </c>
      <c r="T239" s="9" t="s">
        <v>1845</v>
      </c>
      <c r="U239" s="9" t="s">
        <v>1840</v>
      </c>
      <c r="V239" s="9" t="s">
        <v>1838</v>
      </c>
      <c r="W239" s="9" t="s">
        <v>1838</v>
      </c>
      <c r="X239" s="9" t="s">
        <v>1838</v>
      </c>
      <c r="Y239" s="9" t="s">
        <v>1841</v>
      </c>
      <c r="Z239">
        <v>4842179.1619999995</v>
      </c>
      <c r="AA239">
        <v>12553041.036323847</v>
      </c>
      <c r="AB239" s="9" t="s">
        <v>1850</v>
      </c>
      <c r="AC239" s="9" t="s">
        <v>1843</v>
      </c>
    </row>
    <row r="240" spans="1:29">
      <c r="A240" s="9" t="s">
        <v>947</v>
      </c>
      <c r="B240" s="9" t="s">
        <v>87</v>
      </c>
      <c r="C240" s="9" t="s">
        <v>88</v>
      </c>
      <c r="D240" s="9" t="s">
        <v>82</v>
      </c>
      <c r="E240">
        <v>2024</v>
      </c>
      <c r="F240">
        <v>4688665</v>
      </c>
      <c r="G240">
        <v>1.4800000000000001E-2</v>
      </c>
      <c r="H240">
        <v>69392.240000000005</v>
      </c>
      <c r="I240" s="9" t="s">
        <v>948</v>
      </c>
      <c r="J240" s="9" t="s">
        <v>949</v>
      </c>
      <c r="K240" s="9" t="s">
        <v>817</v>
      </c>
      <c r="L240">
        <v>5289056</v>
      </c>
      <c r="M240" s="8">
        <v>44716</v>
      </c>
      <c r="N240" s="9" t="s">
        <v>88</v>
      </c>
      <c r="O240">
        <v>1.4800000000000001E-2</v>
      </c>
      <c r="P240">
        <v>1</v>
      </c>
      <c r="Q240" s="9" t="s">
        <v>1824</v>
      </c>
      <c r="R240" s="9" t="s">
        <v>1838</v>
      </c>
      <c r="S240" s="9" t="s">
        <v>1839</v>
      </c>
      <c r="T240" s="9" t="s">
        <v>1838</v>
      </c>
      <c r="U240" s="9" t="s">
        <v>1840</v>
      </c>
      <c r="V240" s="9" t="s">
        <v>1838</v>
      </c>
      <c r="W240" s="9" t="s">
        <v>1838</v>
      </c>
      <c r="X240" s="9" t="s">
        <v>1838</v>
      </c>
      <c r="Y240" s="9" t="s">
        <v>1841</v>
      </c>
      <c r="Z240">
        <v>4842179.1619999995</v>
      </c>
      <c r="AA240">
        <v>12553041.036323847</v>
      </c>
      <c r="AB240" s="9" t="s">
        <v>1850</v>
      </c>
      <c r="AC240" s="9" t="s">
        <v>1838</v>
      </c>
    </row>
    <row r="241" spans="1:29">
      <c r="A241" s="9" t="s">
        <v>950</v>
      </c>
      <c r="B241" s="9" t="s">
        <v>137</v>
      </c>
      <c r="C241" s="9" t="s">
        <v>138</v>
      </c>
      <c r="D241" s="9" t="s">
        <v>577</v>
      </c>
      <c r="E241">
        <v>2024</v>
      </c>
      <c r="F241">
        <v>7805363</v>
      </c>
      <c r="G241">
        <v>1.4999999999999999E-2</v>
      </c>
      <c r="H241">
        <v>117080.44</v>
      </c>
      <c r="I241" s="9" t="s">
        <v>951</v>
      </c>
      <c r="J241" s="9" t="s">
        <v>952</v>
      </c>
      <c r="K241" s="9" t="s">
        <v>953</v>
      </c>
      <c r="L241">
        <v>7965566</v>
      </c>
      <c r="M241" s="8">
        <v>45641</v>
      </c>
      <c r="N241" s="9" t="s">
        <v>138</v>
      </c>
      <c r="P241">
        <v>1</v>
      </c>
      <c r="Q241" s="9"/>
      <c r="R241" s="9" t="s">
        <v>1838</v>
      </c>
      <c r="S241" s="9" t="s">
        <v>1839</v>
      </c>
      <c r="T241" s="9" t="s">
        <v>1845</v>
      </c>
      <c r="U241" s="9" t="s">
        <v>1840</v>
      </c>
      <c r="V241" s="9" t="s">
        <v>1838</v>
      </c>
      <c r="W241" s="9" t="s">
        <v>1842</v>
      </c>
      <c r="X241" s="9" t="s">
        <v>1838</v>
      </c>
      <c r="Y241" s="9" t="s">
        <v>1841</v>
      </c>
      <c r="Z241">
        <v>4842179.1619999995</v>
      </c>
      <c r="AA241">
        <v>12553041.036323847</v>
      </c>
      <c r="AB241" s="9" t="s">
        <v>1850</v>
      </c>
      <c r="AC241" s="9" t="s">
        <v>1843</v>
      </c>
    </row>
    <row r="242" spans="1:29">
      <c r="A242" s="9" t="s">
        <v>954</v>
      </c>
      <c r="B242" s="9" t="s">
        <v>69</v>
      </c>
      <c r="C242" s="9" t="s">
        <v>70</v>
      </c>
      <c r="D242" s="9" t="s">
        <v>97</v>
      </c>
      <c r="E242">
        <v>2021</v>
      </c>
      <c r="F242">
        <v>3564551</v>
      </c>
      <c r="G242">
        <v>2.06E-2</v>
      </c>
      <c r="H242">
        <v>73179.75</v>
      </c>
      <c r="I242" s="9" t="s">
        <v>955</v>
      </c>
      <c r="J242" s="9" t="s">
        <v>956</v>
      </c>
      <c r="K242" s="9" t="s">
        <v>957</v>
      </c>
      <c r="L242">
        <v>3796546</v>
      </c>
      <c r="M242" s="8">
        <v>45249</v>
      </c>
      <c r="N242" s="9" t="s">
        <v>70</v>
      </c>
      <c r="O242">
        <v>2.06E-2</v>
      </c>
      <c r="P242">
        <v>1</v>
      </c>
      <c r="Q242" s="9" t="s">
        <v>1821</v>
      </c>
      <c r="R242" s="9" t="s">
        <v>1838</v>
      </c>
      <c r="S242" s="9" t="s">
        <v>1839</v>
      </c>
      <c r="T242" s="9" t="s">
        <v>1845</v>
      </c>
      <c r="U242" s="9" t="s">
        <v>1840</v>
      </c>
      <c r="V242" s="9" t="s">
        <v>1838</v>
      </c>
      <c r="W242" s="9" t="s">
        <v>1838</v>
      </c>
      <c r="X242" s="9" t="s">
        <v>1838</v>
      </c>
      <c r="Y242" s="9" t="s">
        <v>1841</v>
      </c>
      <c r="Z242">
        <v>4842179.1619999995</v>
      </c>
      <c r="AA242">
        <v>12553041.036323847</v>
      </c>
      <c r="AB242" s="9" t="s">
        <v>1850</v>
      </c>
      <c r="AC242" s="9" t="s">
        <v>1843</v>
      </c>
    </row>
    <row r="243" spans="1:29">
      <c r="A243" s="9" t="s">
        <v>958</v>
      </c>
      <c r="B243" s="9" t="s">
        <v>49</v>
      </c>
      <c r="C243" s="9" t="s">
        <v>50</v>
      </c>
      <c r="D243" s="9" t="s">
        <v>51</v>
      </c>
      <c r="E243">
        <v>2023</v>
      </c>
      <c r="F243">
        <v>582994</v>
      </c>
      <c r="G243">
        <v>1.21E-2</v>
      </c>
      <c r="H243">
        <v>7134.23</v>
      </c>
      <c r="I243" s="9" t="s">
        <v>959</v>
      </c>
      <c r="J243" s="9" t="s">
        <v>960</v>
      </c>
      <c r="K243" s="9" t="s">
        <v>961</v>
      </c>
      <c r="L243">
        <v>565853</v>
      </c>
      <c r="M243" s="8">
        <v>45176</v>
      </c>
      <c r="N243" s="9" t="s">
        <v>50</v>
      </c>
      <c r="O243">
        <v>1.21E-2</v>
      </c>
      <c r="P243">
        <v>1</v>
      </c>
      <c r="Q243" s="9" t="s">
        <v>1820</v>
      </c>
      <c r="R243" s="9" t="s">
        <v>1838</v>
      </c>
      <c r="S243" s="9" t="s">
        <v>1839</v>
      </c>
      <c r="T243" s="9" t="s">
        <v>1845</v>
      </c>
      <c r="U243" s="9" t="s">
        <v>1840</v>
      </c>
      <c r="V243" s="9" t="s">
        <v>1838</v>
      </c>
      <c r="W243" s="9" t="s">
        <v>1838</v>
      </c>
      <c r="X243" s="9" t="s">
        <v>1838</v>
      </c>
      <c r="Y243" s="9" t="s">
        <v>1841</v>
      </c>
      <c r="Z243">
        <v>4842179.1619999995</v>
      </c>
      <c r="AA243">
        <v>12553041.036323847</v>
      </c>
      <c r="AB243" s="9" t="s">
        <v>1850</v>
      </c>
      <c r="AC243" s="9" t="s">
        <v>1843</v>
      </c>
    </row>
    <row r="244" spans="1:29">
      <c r="A244" s="9" t="s">
        <v>962</v>
      </c>
      <c r="B244" s="9" t="s">
        <v>56</v>
      </c>
      <c r="C244" s="9" t="s">
        <v>57</v>
      </c>
      <c r="D244" s="9" t="s">
        <v>71</v>
      </c>
      <c r="E244">
        <v>2022</v>
      </c>
      <c r="F244">
        <v>1598089</v>
      </c>
      <c r="G244">
        <v>1.84E-2</v>
      </c>
      <c r="H244">
        <v>29404.84</v>
      </c>
      <c r="I244" s="9" t="s">
        <v>963</v>
      </c>
      <c r="J244" s="9" t="s">
        <v>964</v>
      </c>
      <c r="K244" s="9" t="s">
        <v>965</v>
      </c>
      <c r="L244">
        <v>1635795</v>
      </c>
      <c r="M244" s="8">
        <v>45084</v>
      </c>
      <c r="N244" s="9" t="s">
        <v>57</v>
      </c>
      <c r="O244">
        <v>1.84E-2</v>
      </c>
      <c r="P244">
        <v>1</v>
      </c>
      <c r="Q244" s="9" t="s">
        <v>1822</v>
      </c>
      <c r="R244" s="9" t="s">
        <v>1838</v>
      </c>
      <c r="S244" s="9" t="s">
        <v>1839</v>
      </c>
      <c r="T244" s="9" t="s">
        <v>1838</v>
      </c>
      <c r="U244" s="9" t="s">
        <v>1840</v>
      </c>
      <c r="V244" s="9" t="s">
        <v>1838</v>
      </c>
      <c r="W244" s="9" t="s">
        <v>1838</v>
      </c>
      <c r="X244" s="9" t="s">
        <v>1838</v>
      </c>
      <c r="Y244" s="9" t="s">
        <v>1841</v>
      </c>
      <c r="Z244">
        <v>4842179.1619999995</v>
      </c>
      <c r="AA244">
        <v>12553041.036323847</v>
      </c>
      <c r="AB244" s="9" t="s">
        <v>1850</v>
      </c>
      <c r="AC244" s="9" t="s">
        <v>1838</v>
      </c>
    </row>
    <row r="245" spans="1:29">
      <c r="A245" s="9" t="s">
        <v>966</v>
      </c>
      <c r="B245" s="9" t="s">
        <v>69</v>
      </c>
      <c r="C245" s="9" t="s">
        <v>70</v>
      </c>
      <c r="D245" s="9" t="s">
        <v>82</v>
      </c>
      <c r="E245">
        <v>2022</v>
      </c>
      <c r="F245">
        <v>7269944</v>
      </c>
      <c r="G245">
        <v>1.49E-2</v>
      </c>
      <c r="H245">
        <v>108322.17</v>
      </c>
      <c r="I245" s="9" t="s">
        <v>967</v>
      </c>
      <c r="J245" s="9" t="s">
        <v>968</v>
      </c>
      <c r="K245" s="9" t="s">
        <v>969</v>
      </c>
      <c r="L245">
        <v>8908588</v>
      </c>
      <c r="M245" s="8">
        <v>43485</v>
      </c>
      <c r="N245" s="9" t="s">
        <v>70</v>
      </c>
      <c r="O245">
        <v>1.49E-2</v>
      </c>
      <c r="P245">
        <v>1</v>
      </c>
      <c r="Q245" s="9" t="s">
        <v>1824</v>
      </c>
      <c r="R245" s="9" t="s">
        <v>1838</v>
      </c>
      <c r="S245" s="9" t="s">
        <v>1839</v>
      </c>
      <c r="T245" s="9" t="s">
        <v>1838</v>
      </c>
      <c r="U245" s="9" t="s">
        <v>1840</v>
      </c>
      <c r="V245" s="9" t="s">
        <v>1838</v>
      </c>
      <c r="W245" s="9" t="s">
        <v>1838</v>
      </c>
      <c r="X245" s="9" t="s">
        <v>1838</v>
      </c>
      <c r="Y245" s="9" t="s">
        <v>1841</v>
      </c>
      <c r="Z245">
        <v>4842179.1619999995</v>
      </c>
      <c r="AA245">
        <v>12553041.036323847</v>
      </c>
      <c r="AB245" s="9" t="s">
        <v>1850</v>
      </c>
      <c r="AC245" s="9" t="s">
        <v>1838</v>
      </c>
    </row>
    <row r="246" spans="1:29">
      <c r="A246" s="9" t="s">
        <v>970</v>
      </c>
      <c r="B246" s="9" t="s">
        <v>137</v>
      </c>
      <c r="C246" s="9" t="s">
        <v>138</v>
      </c>
      <c r="D246" s="9" t="s">
        <v>97</v>
      </c>
      <c r="E246">
        <v>2024</v>
      </c>
      <c r="F246">
        <v>2592174</v>
      </c>
      <c r="G246">
        <v>2.07E-2</v>
      </c>
      <c r="H246">
        <v>53658</v>
      </c>
      <c r="I246" s="9" t="s">
        <v>971</v>
      </c>
      <c r="J246" s="9" t="s">
        <v>972</v>
      </c>
      <c r="K246" s="9" t="s">
        <v>973</v>
      </c>
      <c r="L246">
        <v>3031518</v>
      </c>
      <c r="M246" s="8">
        <v>44892</v>
      </c>
      <c r="N246" s="9" t="s">
        <v>138</v>
      </c>
      <c r="O246">
        <v>2.07E-2</v>
      </c>
      <c r="P246">
        <v>1</v>
      </c>
      <c r="Q246" s="9" t="s">
        <v>1821</v>
      </c>
      <c r="R246" s="9" t="s">
        <v>1838</v>
      </c>
      <c r="S246" s="9" t="s">
        <v>1839</v>
      </c>
      <c r="T246" s="9" t="s">
        <v>1838</v>
      </c>
      <c r="U246" s="9" t="s">
        <v>1840</v>
      </c>
      <c r="V246" s="9" t="s">
        <v>1838</v>
      </c>
      <c r="W246" s="9" t="s">
        <v>1838</v>
      </c>
      <c r="X246" s="9" t="s">
        <v>1838</v>
      </c>
      <c r="Y246" s="9" t="s">
        <v>1841</v>
      </c>
      <c r="Z246">
        <v>4842179.1619999995</v>
      </c>
      <c r="AA246">
        <v>12553041.036323847</v>
      </c>
      <c r="AB246" s="9" t="s">
        <v>1850</v>
      </c>
      <c r="AC246" s="9" t="s">
        <v>1838</v>
      </c>
    </row>
    <row r="247" spans="1:29">
      <c r="A247" s="9" t="s">
        <v>974</v>
      </c>
      <c r="B247" s="9" t="s">
        <v>101</v>
      </c>
      <c r="C247" s="9" t="s">
        <v>102</v>
      </c>
      <c r="D247" s="9" t="s">
        <v>58</v>
      </c>
      <c r="E247">
        <v>2021</v>
      </c>
      <c r="F247">
        <v>1681400</v>
      </c>
      <c r="G247">
        <v>9.9000000000000008E-3</v>
      </c>
      <c r="H247">
        <v>16645.86</v>
      </c>
      <c r="I247" s="9" t="s">
        <v>975</v>
      </c>
      <c r="J247" s="9" t="s">
        <v>976</v>
      </c>
      <c r="K247" s="9" t="s">
        <v>423</v>
      </c>
      <c r="L247">
        <v>1682327</v>
      </c>
      <c r="M247" s="8">
        <v>45100</v>
      </c>
      <c r="N247" s="9" t="s">
        <v>102</v>
      </c>
      <c r="O247">
        <v>9.9000000000000008E-3</v>
      </c>
      <c r="P247">
        <v>1</v>
      </c>
      <c r="Q247" s="9" t="s">
        <v>1823</v>
      </c>
      <c r="R247" s="9" t="s">
        <v>1838</v>
      </c>
      <c r="S247" s="9" t="s">
        <v>1839</v>
      </c>
      <c r="T247" s="9" t="s">
        <v>1838</v>
      </c>
      <c r="U247" s="9" t="s">
        <v>1840</v>
      </c>
      <c r="V247" s="9" t="s">
        <v>1838</v>
      </c>
      <c r="W247" s="9" t="s">
        <v>1838</v>
      </c>
      <c r="X247" s="9" t="s">
        <v>1838</v>
      </c>
      <c r="Y247" s="9" t="s">
        <v>1841</v>
      </c>
      <c r="Z247">
        <v>4842179.1619999995</v>
      </c>
      <c r="AA247">
        <v>12553041.036323847</v>
      </c>
      <c r="AB247" s="9" t="s">
        <v>1850</v>
      </c>
      <c r="AC247" s="9" t="s">
        <v>1838</v>
      </c>
    </row>
    <row r="248" spans="1:29">
      <c r="A248" s="9" t="s">
        <v>977</v>
      </c>
      <c r="B248" s="9" t="s">
        <v>150</v>
      </c>
      <c r="C248" s="9" t="s">
        <v>151</v>
      </c>
      <c r="D248" s="9" t="s">
        <v>51</v>
      </c>
      <c r="E248">
        <v>2022</v>
      </c>
      <c r="F248">
        <v>8588130</v>
      </c>
      <c r="G248">
        <v>1.23E-2</v>
      </c>
      <c r="H248">
        <v>9277.14</v>
      </c>
      <c r="I248" s="9" t="s">
        <v>978</v>
      </c>
      <c r="J248" s="9" t="s">
        <v>979</v>
      </c>
      <c r="K248" s="9" t="s">
        <v>392</v>
      </c>
      <c r="L248">
        <v>744731</v>
      </c>
      <c r="M248" s="8">
        <v>44924</v>
      </c>
      <c r="N248" s="9" t="s">
        <v>151</v>
      </c>
      <c r="O248">
        <v>1.23E-2</v>
      </c>
      <c r="P248">
        <v>1</v>
      </c>
      <c r="Q248" s="9" t="s">
        <v>1820</v>
      </c>
      <c r="R248" s="9" t="s">
        <v>1838</v>
      </c>
      <c r="S248" s="9" t="s">
        <v>1839</v>
      </c>
      <c r="T248" s="9" t="s">
        <v>1845</v>
      </c>
      <c r="U248" s="9" t="s">
        <v>1840</v>
      </c>
      <c r="V248" s="9" t="s">
        <v>1838</v>
      </c>
      <c r="W248" s="9" t="s">
        <v>1838</v>
      </c>
      <c r="X248" s="9" t="s">
        <v>1838</v>
      </c>
      <c r="Y248" s="9" t="s">
        <v>1841</v>
      </c>
      <c r="Z248">
        <v>4842179.1619999995</v>
      </c>
      <c r="AA248">
        <v>12553041.036323847</v>
      </c>
      <c r="AB248" s="9" t="s">
        <v>1850</v>
      </c>
      <c r="AC248" s="9" t="s">
        <v>1843</v>
      </c>
    </row>
    <row r="249" spans="1:29">
      <c r="A249" s="9" t="s">
        <v>980</v>
      </c>
      <c r="B249" s="9" t="s">
        <v>131</v>
      </c>
      <c r="C249" s="9" t="s">
        <v>132</v>
      </c>
      <c r="D249" s="9" t="s">
        <v>51</v>
      </c>
      <c r="E249">
        <v>2021</v>
      </c>
      <c r="F249">
        <v>1208795</v>
      </c>
      <c r="G249">
        <v>1.2800000000000001E-2</v>
      </c>
      <c r="H249">
        <v>15472.58</v>
      </c>
      <c r="I249" s="9" t="s">
        <v>981</v>
      </c>
      <c r="J249" s="9" t="s">
        <v>982</v>
      </c>
      <c r="K249" s="9" t="s">
        <v>318</v>
      </c>
      <c r="L249">
        <v>1256250</v>
      </c>
      <c r="M249" s="8">
        <v>43991</v>
      </c>
      <c r="N249" s="9" t="s">
        <v>132</v>
      </c>
      <c r="O249">
        <v>1.2800000000000001E-2</v>
      </c>
      <c r="P249">
        <v>1</v>
      </c>
      <c r="Q249" s="9" t="s">
        <v>1820</v>
      </c>
      <c r="R249" s="9" t="s">
        <v>1838</v>
      </c>
      <c r="S249" s="9" t="s">
        <v>1839</v>
      </c>
      <c r="T249" s="9" t="s">
        <v>1838</v>
      </c>
      <c r="U249" s="9" t="s">
        <v>1840</v>
      </c>
      <c r="V249" s="9" t="s">
        <v>1838</v>
      </c>
      <c r="W249" s="9" t="s">
        <v>1838</v>
      </c>
      <c r="X249" s="9" t="s">
        <v>1838</v>
      </c>
      <c r="Y249" s="9" t="s">
        <v>1841</v>
      </c>
      <c r="Z249">
        <v>4842179.1619999995</v>
      </c>
      <c r="AA249">
        <v>12553041.036323847</v>
      </c>
      <c r="AB249" s="9" t="s">
        <v>1850</v>
      </c>
      <c r="AC249" s="9" t="s">
        <v>1838</v>
      </c>
    </row>
    <row r="250" spans="1:29">
      <c r="A250" s="9" t="s">
        <v>983</v>
      </c>
      <c r="B250" s="9" t="s">
        <v>63</v>
      </c>
      <c r="C250" s="9" t="s">
        <v>64</v>
      </c>
      <c r="D250" s="9" t="s">
        <v>82</v>
      </c>
      <c r="E250">
        <v>2024</v>
      </c>
      <c r="F250">
        <v>6839988</v>
      </c>
      <c r="G250">
        <v>1.4800000000000001E-2</v>
      </c>
      <c r="H250">
        <v>101231.82</v>
      </c>
      <c r="I250" s="9" t="s">
        <v>984</v>
      </c>
      <c r="J250" s="9" t="s">
        <v>985</v>
      </c>
      <c r="K250" s="9" t="s">
        <v>986</v>
      </c>
      <c r="L250">
        <v>6660530</v>
      </c>
      <c r="M250" s="8">
        <v>45386</v>
      </c>
      <c r="N250" s="9" t="s">
        <v>64</v>
      </c>
      <c r="O250">
        <v>1.4800000000000001E-2</v>
      </c>
      <c r="P250">
        <v>1</v>
      </c>
      <c r="Q250" s="9" t="s">
        <v>1824</v>
      </c>
      <c r="R250" s="9" t="s">
        <v>1838</v>
      </c>
      <c r="S250" s="9" t="s">
        <v>1839</v>
      </c>
      <c r="T250" s="9" t="s">
        <v>1838</v>
      </c>
      <c r="U250" s="9" t="s">
        <v>1840</v>
      </c>
      <c r="V250" s="9" t="s">
        <v>1838</v>
      </c>
      <c r="W250" s="9" t="s">
        <v>1838</v>
      </c>
      <c r="X250" s="9" t="s">
        <v>1838</v>
      </c>
      <c r="Y250" s="9" t="s">
        <v>1841</v>
      </c>
      <c r="Z250">
        <v>4842179.1619999995</v>
      </c>
      <c r="AA250">
        <v>12553041.036323847</v>
      </c>
      <c r="AB250" s="9" t="s">
        <v>1850</v>
      </c>
      <c r="AC250" s="9" t="s">
        <v>1838</v>
      </c>
    </row>
    <row r="251" spans="1:29">
      <c r="A251" s="9" t="s">
        <v>987</v>
      </c>
      <c r="B251" s="9" t="s">
        <v>49</v>
      </c>
      <c r="C251" s="9" t="s">
        <v>70</v>
      </c>
      <c r="D251" s="9" t="s">
        <v>71</v>
      </c>
      <c r="E251">
        <v>2023</v>
      </c>
      <c r="F251">
        <v>5767336</v>
      </c>
      <c r="G251">
        <v>1.8100000000000002E-2</v>
      </c>
      <c r="H251">
        <v>104388.78</v>
      </c>
      <c r="I251" s="9" t="s">
        <v>988</v>
      </c>
      <c r="J251" s="9" t="s">
        <v>989</v>
      </c>
      <c r="K251" s="9" t="s">
        <v>990</v>
      </c>
      <c r="L251">
        <v>6915117</v>
      </c>
      <c r="M251" s="8">
        <v>44403</v>
      </c>
      <c r="N251" s="9" t="s">
        <v>50</v>
      </c>
      <c r="O251">
        <v>1.8100000000000002E-2</v>
      </c>
      <c r="P251">
        <v>1</v>
      </c>
      <c r="Q251" s="9" t="s">
        <v>1822</v>
      </c>
      <c r="R251" s="9" t="s">
        <v>1838</v>
      </c>
      <c r="S251" s="9" t="s">
        <v>1845</v>
      </c>
      <c r="T251" s="9" t="s">
        <v>1838</v>
      </c>
      <c r="U251" s="9" t="s">
        <v>1840</v>
      </c>
      <c r="V251" s="9" t="s">
        <v>1838</v>
      </c>
      <c r="W251" s="9" t="s">
        <v>1838</v>
      </c>
      <c r="X251" s="9" t="s">
        <v>1838</v>
      </c>
      <c r="Y251" s="9" t="s">
        <v>1841</v>
      </c>
      <c r="Z251">
        <v>4842179.1619999995</v>
      </c>
      <c r="AA251">
        <v>12553041.036323847</v>
      </c>
      <c r="AB251" s="9" t="s">
        <v>1850</v>
      </c>
      <c r="AC251" s="9" t="s">
        <v>1843</v>
      </c>
    </row>
    <row r="252" spans="1:29">
      <c r="A252" s="9" t="s">
        <v>991</v>
      </c>
      <c r="B252" s="9" t="s">
        <v>101</v>
      </c>
      <c r="C252" s="9" t="s">
        <v>102</v>
      </c>
      <c r="D252" s="9" t="s">
        <v>97</v>
      </c>
      <c r="E252">
        <v>2022</v>
      </c>
      <c r="F252">
        <v>5301779</v>
      </c>
      <c r="G252">
        <v>2.0899999999999998E-2</v>
      </c>
      <c r="H252">
        <v>110807.18</v>
      </c>
      <c r="I252" s="9" t="s">
        <v>992</v>
      </c>
      <c r="J252" s="9" t="s">
        <v>993</v>
      </c>
      <c r="K252" s="9" t="s">
        <v>310</v>
      </c>
      <c r="L252">
        <v>5553784</v>
      </c>
      <c r="M252" s="8">
        <v>44016</v>
      </c>
      <c r="N252" s="9" t="s">
        <v>102</v>
      </c>
      <c r="O252">
        <v>2.0899999999999998E-2</v>
      </c>
      <c r="P252">
        <v>1</v>
      </c>
      <c r="Q252" s="9" t="s">
        <v>1821</v>
      </c>
      <c r="R252" s="9" t="s">
        <v>1838</v>
      </c>
      <c r="S252" s="9" t="s">
        <v>1839</v>
      </c>
      <c r="T252" s="9" t="s">
        <v>1838</v>
      </c>
      <c r="U252" s="9" t="s">
        <v>1840</v>
      </c>
      <c r="V252" s="9" t="s">
        <v>1838</v>
      </c>
      <c r="W252" s="9" t="s">
        <v>1838</v>
      </c>
      <c r="X252" s="9" t="s">
        <v>1838</v>
      </c>
      <c r="Y252" s="9" t="s">
        <v>1841</v>
      </c>
      <c r="Z252">
        <v>4842179.1619999995</v>
      </c>
      <c r="AA252">
        <v>12553041.036323847</v>
      </c>
      <c r="AB252" s="9" t="s">
        <v>1850</v>
      </c>
      <c r="AC252" s="9" t="s">
        <v>1838</v>
      </c>
    </row>
    <row r="253" spans="1:29">
      <c r="A253" s="9" t="s">
        <v>994</v>
      </c>
      <c r="B253" s="9" t="s">
        <v>56</v>
      </c>
      <c r="C253" s="9" t="s">
        <v>57</v>
      </c>
      <c r="D253" s="9" t="s">
        <v>82</v>
      </c>
      <c r="E253">
        <v>2023</v>
      </c>
      <c r="F253">
        <v>10841116</v>
      </c>
      <c r="G253">
        <v>1.47E-2</v>
      </c>
      <c r="H253">
        <v>159364.41</v>
      </c>
      <c r="I253" s="9" t="s">
        <v>995</v>
      </c>
      <c r="J253" s="9" t="s">
        <v>996</v>
      </c>
      <c r="K253" s="9" t="s">
        <v>855</v>
      </c>
      <c r="L253">
        <v>11126635</v>
      </c>
      <c r="M253" s="8">
        <v>44978</v>
      </c>
      <c r="N253" s="9" t="s">
        <v>57</v>
      </c>
      <c r="O253">
        <v>1.47E-2</v>
      </c>
      <c r="P253">
        <v>1</v>
      </c>
      <c r="Q253" s="9" t="s">
        <v>1824</v>
      </c>
      <c r="R253" s="9" t="s">
        <v>1838</v>
      </c>
      <c r="S253" s="9" t="s">
        <v>1839</v>
      </c>
      <c r="T253" s="9" t="s">
        <v>1838</v>
      </c>
      <c r="U253" s="9" t="s">
        <v>1840</v>
      </c>
      <c r="V253" s="9" t="s">
        <v>1838</v>
      </c>
      <c r="W253" s="9" t="s">
        <v>1838</v>
      </c>
      <c r="X253" s="9" t="s">
        <v>1838</v>
      </c>
      <c r="Y253" s="9" t="s">
        <v>1841</v>
      </c>
      <c r="Z253">
        <v>4842179.1619999995</v>
      </c>
      <c r="AA253">
        <v>12553041.036323847</v>
      </c>
      <c r="AB253" s="9" t="s">
        <v>1850</v>
      </c>
      <c r="AC253" s="9" t="s">
        <v>1838</v>
      </c>
    </row>
    <row r="254" spans="1:29">
      <c r="A254" s="9" t="s">
        <v>997</v>
      </c>
      <c r="B254" s="9" t="s">
        <v>56</v>
      </c>
      <c r="C254" s="9" t="s">
        <v>57</v>
      </c>
      <c r="D254" s="9" t="s">
        <v>71</v>
      </c>
      <c r="E254">
        <v>2023</v>
      </c>
      <c r="F254">
        <v>1366759</v>
      </c>
      <c r="G254">
        <v>1.84E-2</v>
      </c>
      <c r="H254">
        <v>25148.37</v>
      </c>
      <c r="I254" s="9" t="s">
        <v>998</v>
      </c>
      <c r="J254" s="9" t="s">
        <v>999</v>
      </c>
      <c r="K254" s="9" t="s">
        <v>1000</v>
      </c>
      <c r="L254">
        <v>1267591</v>
      </c>
      <c r="M254" s="8">
        <v>45087</v>
      </c>
      <c r="N254" s="9" t="s">
        <v>57</v>
      </c>
      <c r="O254">
        <v>1.84E-2</v>
      </c>
      <c r="P254">
        <v>1</v>
      </c>
      <c r="Q254" s="9" t="s">
        <v>1822</v>
      </c>
      <c r="R254" s="9" t="s">
        <v>1838</v>
      </c>
      <c r="S254" s="9" t="s">
        <v>1839</v>
      </c>
      <c r="T254" s="9" t="s">
        <v>1838</v>
      </c>
      <c r="U254" s="9" t="s">
        <v>1840</v>
      </c>
      <c r="V254" s="9" t="s">
        <v>1838</v>
      </c>
      <c r="W254" s="9" t="s">
        <v>1838</v>
      </c>
      <c r="X254" s="9" t="s">
        <v>1838</v>
      </c>
      <c r="Y254" s="9" t="s">
        <v>1841</v>
      </c>
      <c r="Z254">
        <v>4842179.1619999995</v>
      </c>
      <c r="AA254">
        <v>12553041.036323847</v>
      </c>
      <c r="AB254" s="9" t="s">
        <v>1850</v>
      </c>
      <c r="AC254" s="9" t="s">
        <v>1838</v>
      </c>
    </row>
    <row r="255" spans="1:29">
      <c r="A255" s="9" t="s">
        <v>1001</v>
      </c>
      <c r="B255" s="9" t="s">
        <v>137</v>
      </c>
      <c r="C255" s="9" t="s">
        <v>138</v>
      </c>
      <c r="D255" s="9" t="s">
        <v>58</v>
      </c>
      <c r="E255">
        <v>2022</v>
      </c>
      <c r="F255">
        <v>3078592</v>
      </c>
      <c r="G255">
        <v>9.7000000000000003E-3</v>
      </c>
      <c r="H255">
        <v>29862.34</v>
      </c>
      <c r="I255" s="9" t="s">
        <v>1002</v>
      </c>
      <c r="J255" s="9" t="s">
        <v>1003</v>
      </c>
      <c r="K255" s="9" t="s">
        <v>906</v>
      </c>
      <c r="L255">
        <v>3058936</v>
      </c>
      <c r="M255" s="8">
        <v>45085</v>
      </c>
      <c r="N255" s="9" t="s">
        <v>138</v>
      </c>
      <c r="O255">
        <v>9.7000000000000003E-3</v>
      </c>
      <c r="P255">
        <v>1</v>
      </c>
      <c r="Q255" s="9" t="s">
        <v>1823</v>
      </c>
      <c r="R255" s="9" t="s">
        <v>1838</v>
      </c>
      <c r="S255" s="9" t="s">
        <v>1839</v>
      </c>
      <c r="T255" s="9" t="s">
        <v>1838</v>
      </c>
      <c r="U255" s="9" t="s">
        <v>1840</v>
      </c>
      <c r="V255" s="9" t="s">
        <v>1838</v>
      </c>
      <c r="W255" s="9" t="s">
        <v>1838</v>
      </c>
      <c r="X255" s="9" t="s">
        <v>1838</v>
      </c>
      <c r="Y255" s="9" t="s">
        <v>1841</v>
      </c>
      <c r="Z255">
        <v>4842179.1619999995</v>
      </c>
      <c r="AA255">
        <v>12553041.036323847</v>
      </c>
      <c r="AB255" s="9" t="s">
        <v>1850</v>
      </c>
      <c r="AC255" s="9" t="s">
        <v>1838</v>
      </c>
    </row>
    <row r="256" spans="1:29">
      <c r="A256" s="9" t="s">
        <v>1004</v>
      </c>
      <c r="B256" s="9" t="s">
        <v>137</v>
      </c>
      <c r="C256" s="9" t="s">
        <v>138</v>
      </c>
      <c r="D256" s="9" t="s">
        <v>58</v>
      </c>
      <c r="E256">
        <v>2023</v>
      </c>
      <c r="F256">
        <v>2533716</v>
      </c>
      <c r="G256">
        <v>9.7000000000000003E-3</v>
      </c>
      <c r="H256">
        <v>24577.05</v>
      </c>
      <c r="I256" s="9" t="s">
        <v>1005</v>
      </c>
      <c r="J256" s="9" t="s">
        <v>1006</v>
      </c>
      <c r="K256" s="9" t="s">
        <v>664</v>
      </c>
      <c r="L256">
        <v>3059568</v>
      </c>
      <c r="M256" s="8">
        <v>44954</v>
      </c>
      <c r="N256" s="9" t="s">
        <v>138</v>
      </c>
      <c r="O256">
        <v>9.7000000000000003E-3</v>
      </c>
      <c r="P256">
        <v>1</v>
      </c>
      <c r="Q256" s="9" t="s">
        <v>1823</v>
      </c>
      <c r="R256" s="9" t="s">
        <v>1838</v>
      </c>
      <c r="S256" s="9" t="s">
        <v>1839</v>
      </c>
      <c r="T256" s="9" t="s">
        <v>1838</v>
      </c>
      <c r="U256" s="9" t="s">
        <v>1840</v>
      </c>
      <c r="V256" s="9" t="s">
        <v>1838</v>
      </c>
      <c r="W256" s="9" t="s">
        <v>1838</v>
      </c>
      <c r="X256" s="9" t="s">
        <v>1838</v>
      </c>
      <c r="Y256" s="9" t="s">
        <v>1841</v>
      </c>
      <c r="Z256">
        <v>4842179.1619999995</v>
      </c>
      <c r="AA256">
        <v>12553041.036323847</v>
      </c>
      <c r="AB256" s="9" t="s">
        <v>1850</v>
      </c>
      <c r="AC256" s="9" t="s">
        <v>1838</v>
      </c>
    </row>
    <row r="257" spans="1:29">
      <c r="A257" s="9" t="s">
        <v>1007</v>
      </c>
      <c r="B257" s="9" t="s">
        <v>63</v>
      </c>
      <c r="C257" s="9" t="s">
        <v>64</v>
      </c>
      <c r="D257" s="9" t="s">
        <v>644</v>
      </c>
      <c r="E257">
        <v>2024</v>
      </c>
      <c r="F257">
        <v>788826</v>
      </c>
      <c r="G257">
        <v>1.2500000000000001E-2</v>
      </c>
      <c r="H257">
        <v>9860.33</v>
      </c>
      <c r="I257" s="9" t="s">
        <v>1008</v>
      </c>
      <c r="J257" s="9" t="s">
        <v>1009</v>
      </c>
      <c r="K257" s="9" t="s">
        <v>1010</v>
      </c>
      <c r="L257">
        <v>941449</v>
      </c>
      <c r="M257" s="8">
        <v>44255</v>
      </c>
      <c r="N257" s="9" t="s">
        <v>64</v>
      </c>
      <c r="P257">
        <v>1</v>
      </c>
      <c r="Q257" s="9"/>
      <c r="R257" s="9" t="s">
        <v>1838</v>
      </c>
      <c r="S257" s="9" t="s">
        <v>1839</v>
      </c>
      <c r="T257" s="9" t="s">
        <v>1845</v>
      </c>
      <c r="U257" s="9" t="s">
        <v>1840</v>
      </c>
      <c r="V257" s="9" t="s">
        <v>1838</v>
      </c>
      <c r="W257" s="9" t="s">
        <v>1842</v>
      </c>
      <c r="X257" s="9" t="s">
        <v>1838</v>
      </c>
      <c r="Y257" s="9" t="s">
        <v>1841</v>
      </c>
      <c r="Z257">
        <v>4842179.1619999995</v>
      </c>
      <c r="AA257">
        <v>12553041.036323847</v>
      </c>
      <c r="AB257" s="9" t="s">
        <v>1850</v>
      </c>
      <c r="AC257" s="9" t="s">
        <v>1843</v>
      </c>
    </row>
    <row r="258" spans="1:29">
      <c r="A258" s="9" t="s">
        <v>1011</v>
      </c>
      <c r="B258" s="9" t="s">
        <v>63</v>
      </c>
      <c r="C258" s="9" t="s">
        <v>64</v>
      </c>
      <c r="D258" s="9" t="s">
        <v>71</v>
      </c>
      <c r="E258">
        <v>2023</v>
      </c>
      <c r="F258">
        <v>8309563</v>
      </c>
      <c r="G258">
        <v>1.8499999999999999E-2</v>
      </c>
      <c r="H258">
        <v>153726.92000000001</v>
      </c>
      <c r="I258" s="9" t="s">
        <v>1012</v>
      </c>
      <c r="J258" s="9" t="s">
        <v>1013</v>
      </c>
      <c r="K258" s="9" t="s">
        <v>129</v>
      </c>
      <c r="L258">
        <v>10122071</v>
      </c>
      <c r="M258" s="8">
        <v>44817</v>
      </c>
      <c r="N258" s="9" t="s">
        <v>64</v>
      </c>
      <c r="O258">
        <v>1.8499999999999999E-2</v>
      </c>
      <c r="P258">
        <v>1</v>
      </c>
      <c r="Q258" s="9" t="s">
        <v>1822</v>
      </c>
      <c r="R258" s="9" t="s">
        <v>1838</v>
      </c>
      <c r="S258" s="9" t="s">
        <v>1839</v>
      </c>
      <c r="T258" s="9" t="s">
        <v>1838</v>
      </c>
      <c r="U258" s="9" t="s">
        <v>1840</v>
      </c>
      <c r="V258" s="9" t="s">
        <v>1838</v>
      </c>
      <c r="W258" s="9" t="s">
        <v>1838</v>
      </c>
      <c r="X258" s="9" t="s">
        <v>1838</v>
      </c>
      <c r="Y258" s="9" t="s">
        <v>1841</v>
      </c>
      <c r="Z258">
        <v>4842179.1619999995</v>
      </c>
      <c r="AA258">
        <v>12553041.036323847</v>
      </c>
      <c r="AB258" s="9" t="s">
        <v>1850</v>
      </c>
      <c r="AC258" s="9" t="s">
        <v>1838</v>
      </c>
    </row>
    <row r="259" spans="1:29">
      <c r="A259" s="9" t="s">
        <v>1014</v>
      </c>
      <c r="B259" s="9" t="s">
        <v>56</v>
      </c>
      <c r="C259" s="9" t="s">
        <v>57</v>
      </c>
      <c r="D259" s="9" t="s">
        <v>97</v>
      </c>
      <c r="E259">
        <v>2021</v>
      </c>
      <c r="F259">
        <v>2376818</v>
      </c>
      <c r="G259">
        <v>2.0400000000000001E-2</v>
      </c>
      <c r="H259">
        <v>48487.09</v>
      </c>
      <c r="I259" s="9" t="s">
        <v>1015</v>
      </c>
      <c r="J259" s="9" t="s">
        <v>1016</v>
      </c>
      <c r="K259" s="9" t="s">
        <v>828</v>
      </c>
      <c r="L259">
        <v>2536002</v>
      </c>
      <c r="M259" s="8">
        <v>43503</v>
      </c>
      <c r="N259" s="9" t="s">
        <v>57</v>
      </c>
      <c r="O259">
        <v>2.0400000000000001E-2</v>
      </c>
      <c r="P259">
        <v>1</v>
      </c>
      <c r="Q259" s="9" t="s">
        <v>1821</v>
      </c>
      <c r="R259" s="9" t="s">
        <v>1838</v>
      </c>
      <c r="S259" s="9" t="s">
        <v>1839</v>
      </c>
      <c r="T259" s="9" t="s">
        <v>1838</v>
      </c>
      <c r="U259" s="9" t="s">
        <v>1840</v>
      </c>
      <c r="V259" s="9" t="s">
        <v>1838</v>
      </c>
      <c r="W259" s="9" t="s">
        <v>1838</v>
      </c>
      <c r="X259" s="9" t="s">
        <v>1838</v>
      </c>
      <c r="Y259" s="9" t="s">
        <v>1841</v>
      </c>
      <c r="Z259">
        <v>4842179.1619999995</v>
      </c>
      <c r="AA259">
        <v>12553041.036323847</v>
      </c>
      <c r="AB259" s="9" t="s">
        <v>1850</v>
      </c>
      <c r="AC259" s="9" t="s">
        <v>1838</v>
      </c>
    </row>
    <row r="260" spans="1:29">
      <c r="A260" s="9" t="s">
        <v>1020</v>
      </c>
      <c r="B260" s="9" t="s">
        <v>87</v>
      </c>
      <c r="C260" s="9" t="s">
        <v>88</v>
      </c>
      <c r="D260" s="9" t="s">
        <v>71</v>
      </c>
      <c r="E260">
        <v>2023</v>
      </c>
      <c r="F260">
        <v>6061415</v>
      </c>
      <c r="G260">
        <v>1.8499999999999999E-2</v>
      </c>
      <c r="H260">
        <v>112136.18</v>
      </c>
      <c r="I260" s="9" t="s">
        <v>1021</v>
      </c>
      <c r="J260" s="9" t="s">
        <v>1022</v>
      </c>
      <c r="K260" s="9" t="s">
        <v>1023</v>
      </c>
      <c r="L260">
        <v>6135518</v>
      </c>
      <c r="M260" s="8">
        <v>44142</v>
      </c>
      <c r="N260" s="9" t="s">
        <v>88</v>
      </c>
      <c r="O260">
        <v>1.8499999999999999E-2</v>
      </c>
      <c r="P260">
        <v>1</v>
      </c>
      <c r="Q260" s="9" t="s">
        <v>1822</v>
      </c>
      <c r="R260" s="9" t="s">
        <v>1838</v>
      </c>
      <c r="S260" s="9" t="s">
        <v>1839</v>
      </c>
      <c r="T260" s="9" t="s">
        <v>1838</v>
      </c>
      <c r="U260" s="9" t="s">
        <v>1840</v>
      </c>
      <c r="V260" s="9" t="s">
        <v>1838</v>
      </c>
      <c r="W260" s="9" t="s">
        <v>1838</v>
      </c>
      <c r="X260" s="9" t="s">
        <v>1838</v>
      </c>
      <c r="Y260" s="9" t="s">
        <v>1841</v>
      </c>
      <c r="Z260">
        <v>4842179.1619999995</v>
      </c>
      <c r="AA260">
        <v>12553041.036323847</v>
      </c>
      <c r="AB260" s="9" t="s">
        <v>1850</v>
      </c>
      <c r="AC260" s="9" t="s">
        <v>1838</v>
      </c>
    </row>
    <row r="261" spans="1:29">
      <c r="A261" s="9" t="s">
        <v>1024</v>
      </c>
      <c r="B261" s="9" t="s">
        <v>63</v>
      </c>
      <c r="C261" s="9" t="s">
        <v>64</v>
      </c>
      <c r="D261" s="9" t="s">
        <v>82</v>
      </c>
      <c r="E261">
        <v>2021</v>
      </c>
      <c r="F261">
        <v>4055372</v>
      </c>
      <c r="G261">
        <v>1.4800000000000001E-2</v>
      </c>
      <c r="H261">
        <v>60019.51</v>
      </c>
      <c r="I261" s="9" t="s">
        <v>1025</v>
      </c>
      <c r="J261" s="9" t="s">
        <v>1026</v>
      </c>
      <c r="K261" s="9" t="s">
        <v>1027</v>
      </c>
      <c r="L261">
        <v>4765078</v>
      </c>
      <c r="M261" s="8">
        <v>45507</v>
      </c>
      <c r="N261" s="9" t="s">
        <v>64</v>
      </c>
      <c r="O261">
        <v>1.4800000000000001E-2</v>
      </c>
      <c r="P261">
        <v>1</v>
      </c>
      <c r="Q261" s="9" t="s">
        <v>1824</v>
      </c>
      <c r="R261" s="9" t="s">
        <v>1838</v>
      </c>
      <c r="S261" s="9" t="s">
        <v>1839</v>
      </c>
      <c r="T261" s="9" t="s">
        <v>1838</v>
      </c>
      <c r="U261" s="9" t="s">
        <v>1840</v>
      </c>
      <c r="V261" s="9" t="s">
        <v>1838</v>
      </c>
      <c r="W261" s="9" t="s">
        <v>1838</v>
      </c>
      <c r="X261" s="9" t="s">
        <v>1838</v>
      </c>
      <c r="Y261" s="9" t="s">
        <v>1841</v>
      </c>
      <c r="Z261">
        <v>4842179.1619999995</v>
      </c>
      <c r="AA261">
        <v>12553041.036323847</v>
      </c>
      <c r="AB261" s="9" t="s">
        <v>1850</v>
      </c>
      <c r="AC261" s="9" t="s">
        <v>1838</v>
      </c>
    </row>
    <row r="262" spans="1:29">
      <c r="A262" s="9" t="s">
        <v>1028</v>
      </c>
      <c r="B262" s="9" t="s">
        <v>150</v>
      </c>
      <c r="C262" s="9" t="s">
        <v>151</v>
      </c>
      <c r="D262" s="9" t="s">
        <v>58</v>
      </c>
      <c r="E262">
        <v>2021</v>
      </c>
      <c r="F262">
        <v>1295112</v>
      </c>
      <c r="G262">
        <v>1.0800000000000001E-2</v>
      </c>
      <c r="H262">
        <v>12044.54</v>
      </c>
      <c r="I262" s="9" t="s">
        <v>1029</v>
      </c>
      <c r="J262" s="9" t="s">
        <v>1030</v>
      </c>
      <c r="K262" s="9" t="s">
        <v>1031</v>
      </c>
      <c r="L262">
        <v>1499956</v>
      </c>
      <c r="M262" s="8">
        <v>43603</v>
      </c>
      <c r="N262" s="9" t="s">
        <v>151</v>
      </c>
      <c r="O262">
        <v>9.2999999999999992E-3</v>
      </c>
      <c r="P262">
        <v>1</v>
      </c>
      <c r="Q262" s="9" t="s">
        <v>1823</v>
      </c>
      <c r="R262" s="9" t="s">
        <v>1838</v>
      </c>
      <c r="S262" s="9" t="s">
        <v>1839</v>
      </c>
      <c r="T262" s="9" t="s">
        <v>1838</v>
      </c>
      <c r="U262" s="9" t="s">
        <v>1840</v>
      </c>
      <c r="V262" s="9" t="s">
        <v>1838</v>
      </c>
      <c r="W262" s="9" t="s">
        <v>1838</v>
      </c>
      <c r="X262" s="9" t="s">
        <v>1838</v>
      </c>
      <c r="Y262" s="9" t="s">
        <v>1841</v>
      </c>
      <c r="Z262">
        <v>4842179.1619999995</v>
      </c>
      <c r="AA262">
        <v>12553041.036323847</v>
      </c>
      <c r="AB262" s="9" t="s">
        <v>1850</v>
      </c>
      <c r="AC262" s="9" t="s">
        <v>1838</v>
      </c>
    </row>
    <row r="263" spans="1:29">
      <c r="A263" s="9" t="s">
        <v>1032</v>
      </c>
      <c r="B263" s="9" t="s">
        <v>76</v>
      </c>
      <c r="C263" s="9" t="s">
        <v>77</v>
      </c>
      <c r="D263" s="9" t="s">
        <v>58</v>
      </c>
      <c r="E263">
        <v>2021</v>
      </c>
      <c r="F263">
        <v>1790053</v>
      </c>
      <c r="G263">
        <v>9.4000000000000004E-3</v>
      </c>
      <c r="H263">
        <v>16826.5</v>
      </c>
      <c r="I263" s="9" t="s">
        <v>1033</v>
      </c>
      <c r="J263" s="9" t="s">
        <v>1034</v>
      </c>
      <c r="K263" s="9" t="s">
        <v>272</v>
      </c>
      <c r="L263">
        <v>1836862</v>
      </c>
      <c r="M263" s="8">
        <v>43679</v>
      </c>
      <c r="N263" s="9" t="s">
        <v>77</v>
      </c>
      <c r="O263">
        <v>9.4000000000000004E-3</v>
      </c>
      <c r="P263">
        <v>1</v>
      </c>
      <c r="Q263" s="9" t="s">
        <v>1823</v>
      </c>
      <c r="R263" s="9" t="s">
        <v>1838</v>
      </c>
      <c r="S263" s="9" t="s">
        <v>1839</v>
      </c>
      <c r="T263" s="9" t="s">
        <v>1838</v>
      </c>
      <c r="U263" s="9" t="s">
        <v>1840</v>
      </c>
      <c r="V263" s="9" t="s">
        <v>1838</v>
      </c>
      <c r="W263" s="9" t="s">
        <v>1838</v>
      </c>
      <c r="X263" s="9" t="s">
        <v>1838</v>
      </c>
      <c r="Y263" s="9" t="s">
        <v>1841</v>
      </c>
      <c r="Z263">
        <v>4842179.1619999995</v>
      </c>
      <c r="AA263">
        <v>12553041.036323847</v>
      </c>
      <c r="AB263" s="9" t="s">
        <v>1850</v>
      </c>
      <c r="AC263" s="9" t="s">
        <v>1838</v>
      </c>
    </row>
    <row r="264" spans="1:29">
      <c r="A264" s="9" t="s">
        <v>1035</v>
      </c>
      <c r="B264" s="9" t="s">
        <v>76</v>
      </c>
      <c r="C264" s="9" t="s">
        <v>77</v>
      </c>
      <c r="D264" s="9" t="s">
        <v>51</v>
      </c>
      <c r="E264">
        <v>2022</v>
      </c>
      <c r="F264">
        <v>875473</v>
      </c>
      <c r="G264">
        <v>1.24E-2</v>
      </c>
      <c r="H264">
        <v>10855.87</v>
      </c>
      <c r="I264" s="9" t="s">
        <v>1036</v>
      </c>
      <c r="J264" s="9" t="s">
        <v>1037</v>
      </c>
      <c r="K264" s="9" t="s">
        <v>703</v>
      </c>
      <c r="L264">
        <v>836247</v>
      </c>
      <c r="M264" s="8">
        <v>43840</v>
      </c>
      <c r="N264" s="9" t="s">
        <v>77</v>
      </c>
      <c r="O264">
        <v>1.24E-2</v>
      </c>
      <c r="P264">
        <v>1</v>
      </c>
      <c r="Q264" s="9" t="s">
        <v>1820</v>
      </c>
      <c r="R264" s="9" t="s">
        <v>1838</v>
      </c>
      <c r="S264" s="9" t="s">
        <v>1839</v>
      </c>
      <c r="T264" s="9" t="s">
        <v>1838</v>
      </c>
      <c r="U264" s="9" t="s">
        <v>1840</v>
      </c>
      <c r="V264" s="9" t="s">
        <v>1838</v>
      </c>
      <c r="W264" s="9" t="s">
        <v>1838</v>
      </c>
      <c r="X264" s="9" t="s">
        <v>1838</v>
      </c>
      <c r="Y264" s="9" t="s">
        <v>1841</v>
      </c>
      <c r="Z264">
        <v>4842179.1619999995</v>
      </c>
      <c r="AA264">
        <v>12553041.036323847</v>
      </c>
      <c r="AB264" s="9" t="s">
        <v>1850</v>
      </c>
      <c r="AC264" s="9" t="s">
        <v>1838</v>
      </c>
    </row>
    <row r="265" spans="1:29">
      <c r="A265" s="9" t="s">
        <v>1038</v>
      </c>
      <c r="B265" s="9" t="s">
        <v>87</v>
      </c>
      <c r="C265" s="9" t="s">
        <v>88</v>
      </c>
      <c r="D265" s="9" t="s">
        <v>71</v>
      </c>
      <c r="E265">
        <v>2021</v>
      </c>
      <c r="F265">
        <v>1931065</v>
      </c>
      <c r="G265">
        <v>1.8499999999999999E-2</v>
      </c>
      <c r="H265">
        <v>35724.699999999997</v>
      </c>
      <c r="I265" s="9" t="s">
        <v>1039</v>
      </c>
      <c r="J265" s="9" t="s">
        <v>1040</v>
      </c>
      <c r="K265" s="9" t="s">
        <v>1041</v>
      </c>
      <c r="L265">
        <v>2345340</v>
      </c>
      <c r="M265" s="8">
        <v>45453</v>
      </c>
      <c r="N265" s="9" t="s">
        <v>88</v>
      </c>
      <c r="O265">
        <v>1.8499999999999999E-2</v>
      </c>
      <c r="P265">
        <v>1</v>
      </c>
      <c r="Q265" s="9" t="s">
        <v>1822</v>
      </c>
      <c r="R265" s="9" t="s">
        <v>1838</v>
      </c>
      <c r="S265" s="9" t="s">
        <v>1839</v>
      </c>
      <c r="T265" s="9" t="s">
        <v>1838</v>
      </c>
      <c r="U265" s="9" t="s">
        <v>1840</v>
      </c>
      <c r="V265" s="9" t="s">
        <v>1838</v>
      </c>
      <c r="W265" s="9" t="s">
        <v>1838</v>
      </c>
      <c r="X265" s="9" t="s">
        <v>1838</v>
      </c>
      <c r="Y265" s="9" t="s">
        <v>1841</v>
      </c>
      <c r="Z265">
        <v>4842179.1619999995</v>
      </c>
      <c r="AA265">
        <v>12553041.036323847</v>
      </c>
      <c r="AB265" s="9" t="s">
        <v>1850</v>
      </c>
      <c r="AC265" s="9" t="s">
        <v>1838</v>
      </c>
    </row>
    <row r="266" spans="1:29">
      <c r="A266" s="9" t="s">
        <v>1042</v>
      </c>
      <c r="B266" s="9" t="s">
        <v>101</v>
      </c>
      <c r="C266" s="9" t="s">
        <v>102</v>
      </c>
      <c r="D266" s="9" t="s">
        <v>82</v>
      </c>
      <c r="E266">
        <v>2023</v>
      </c>
      <c r="F266">
        <v>135379068</v>
      </c>
      <c r="G266">
        <v>1.52E-2</v>
      </c>
      <c r="H266">
        <v>2057761.83</v>
      </c>
      <c r="I266" s="9" t="s">
        <v>1043</v>
      </c>
      <c r="J266" s="9" t="s">
        <v>1044</v>
      </c>
      <c r="K266" s="9" t="s">
        <v>1045</v>
      </c>
      <c r="L266">
        <v>7577988</v>
      </c>
      <c r="M266" s="8">
        <v>44370</v>
      </c>
      <c r="N266" s="9" t="s">
        <v>102</v>
      </c>
      <c r="O266">
        <v>1.52E-2</v>
      </c>
      <c r="P266">
        <v>1</v>
      </c>
      <c r="Q266" s="9" t="s">
        <v>1824</v>
      </c>
      <c r="R266" s="9" t="s">
        <v>1838</v>
      </c>
      <c r="S266" s="9" t="s">
        <v>1839</v>
      </c>
      <c r="T266" s="9" t="s">
        <v>1838</v>
      </c>
      <c r="U266" s="9" t="s">
        <v>1840</v>
      </c>
      <c r="V266" s="9" t="s">
        <v>1838</v>
      </c>
      <c r="W266" s="9" t="s">
        <v>1838</v>
      </c>
      <c r="X266" s="9" t="s">
        <v>1838</v>
      </c>
      <c r="Y266" s="9" t="s">
        <v>1841</v>
      </c>
      <c r="Z266">
        <v>4842179.1619999995</v>
      </c>
      <c r="AA266">
        <v>12553041.036323847</v>
      </c>
      <c r="AB266" s="9" t="s">
        <v>1851</v>
      </c>
      <c r="AC266" s="9" t="s">
        <v>1843</v>
      </c>
    </row>
    <row r="267" spans="1:29">
      <c r="A267" s="9" t="s">
        <v>1046</v>
      </c>
      <c r="B267" s="9" t="s">
        <v>56</v>
      </c>
      <c r="C267" s="9" t="s">
        <v>57</v>
      </c>
      <c r="D267" s="9" t="s">
        <v>71</v>
      </c>
      <c r="E267">
        <v>2024</v>
      </c>
      <c r="F267">
        <v>746068</v>
      </c>
      <c r="G267">
        <v>1.84E-2</v>
      </c>
      <c r="H267">
        <v>13727.65</v>
      </c>
      <c r="I267" s="9" t="s">
        <v>1047</v>
      </c>
      <c r="J267" s="9" t="s">
        <v>1048</v>
      </c>
      <c r="K267" s="9" t="s">
        <v>1049</v>
      </c>
      <c r="L267">
        <v>849867</v>
      </c>
      <c r="M267" s="8">
        <v>45326</v>
      </c>
      <c r="N267" s="9" t="s">
        <v>57</v>
      </c>
      <c r="O267">
        <v>1.84E-2</v>
      </c>
      <c r="P267">
        <v>1</v>
      </c>
      <c r="Q267" s="9" t="s">
        <v>1822</v>
      </c>
      <c r="R267" s="9" t="s">
        <v>1838</v>
      </c>
      <c r="S267" s="9" t="s">
        <v>1839</v>
      </c>
      <c r="T267" s="9" t="s">
        <v>1838</v>
      </c>
      <c r="U267" s="9" t="s">
        <v>1840</v>
      </c>
      <c r="V267" s="9" t="s">
        <v>1838</v>
      </c>
      <c r="W267" s="9" t="s">
        <v>1838</v>
      </c>
      <c r="X267" s="9" t="s">
        <v>1838</v>
      </c>
      <c r="Y267" s="9" t="s">
        <v>1841</v>
      </c>
      <c r="Z267">
        <v>4842179.1619999995</v>
      </c>
      <c r="AA267">
        <v>12553041.036323847</v>
      </c>
      <c r="AB267" s="9" t="s">
        <v>1850</v>
      </c>
      <c r="AC267" s="9" t="s">
        <v>1838</v>
      </c>
    </row>
    <row r="268" spans="1:29">
      <c r="A268" s="9" t="s">
        <v>1050</v>
      </c>
      <c r="B268" s="9" t="s">
        <v>1051</v>
      </c>
      <c r="C268" s="9" t="s">
        <v>64</v>
      </c>
      <c r="D268" s="9" t="s">
        <v>82</v>
      </c>
      <c r="E268">
        <v>2023</v>
      </c>
      <c r="F268">
        <v>5282985</v>
      </c>
      <c r="G268">
        <v>1.5100000000000001E-2</v>
      </c>
      <c r="H268">
        <v>79773.070000000007</v>
      </c>
      <c r="I268" s="9" t="s">
        <v>1052</v>
      </c>
      <c r="J268" s="9" t="s">
        <v>1053</v>
      </c>
      <c r="K268" s="9" t="s">
        <v>182</v>
      </c>
      <c r="L268">
        <v>4813518</v>
      </c>
      <c r="M268" s="8">
        <v>45145</v>
      </c>
      <c r="N268" s="9"/>
      <c r="P268">
        <v>1</v>
      </c>
      <c r="Q268" s="9" t="s">
        <v>1824</v>
      </c>
      <c r="R268" s="9" t="s">
        <v>1842</v>
      </c>
      <c r="S268" s="9" t="s">
        <v>1845</v>
      </c>
      <c r="T268" s="9" t="s">
        <v>1845</v>
      </c>
      <c r="U268" s="9" t="s">
        <v>1840</v>
      </c>
      <c r="V268" s="9" t="s">
        <v>1838</v>
      </c>
      <c r="W268" s="9" t="s">
        <v>1838</v>
      </c>
      <c r="X268" s="9" t="s">
        <v>1838</v>
      </c>
      <c r="Y268" s="9" t="s">
        <v>1841</v>
      </c>
      <c r="Z268">
        <v>4842179.1619999995</v>
      </c>
      <c r="AA268">
        <v>12553041.036323847</v>
      </c>
      <c r="AB268" s="9" t="s">
        <v>1850</v>
      </c>
      <c r="AC268" s="9" t="s">
        <v>1843</v>
      </c>
    </row>
    <row r="269" spans="1:29">
      <c r="A269" s="9" t="s">
        <v>1054</v>
      </c>
      <c r="B269" s="9" t="s">
        <v>69</v>
      </c>
      <c r="C269" s="9" t="s">
        <v>70</v>
      </c>
      <c r="D269" s="9" t="s">
        <v>58</v>
      </c>
      <c r="E269">
        <v>2023</v>
      </c>
      <c r="F269">
        <v>584077</v>
      </c>
      <c r="G269">
        <v>9.5999999999999992E-3</v>
      </c>
      <c r="H269">
        <v>5607.14</v>
      </c>
      <c r="I269" s="9" t="s">
        <v>1055</v>
      </c>
      <c r="J269" s="9" t="s">
        <v>1056</v>
      </c>
      <c r="K269" s="9" t="s">
        <v>635</v>
      </c>
      <c r="L269">
        <v>601117</v>
      </c>
      <c r="M269" s="8">
        <v>45281</v>
      </c>
      <c r="N269" s="9" t="s">
        <v>70</v>
      </c>
      <c r="O269">
        <v>9.5999999999999992E-3</v>
      </c>
      <c r="P269">
        <v>1</v>
      </c>
      <c r="Q269" s="9" t="s">
        <v>1823</v>
      </c>
      <c r="R269" s="9" t="s">
        <v>1838</v>
      </c>
      <c r="S269" s="9" t="s">
        <v>1839</v>
      </c>
      <c r="T269" s="9" t="s">
        <v>1838</v>
      </c>
      <c r="U269" s="9" t="s">
        <v>1840</v>
      </c>
      <c r="V269" s="9" t="s">
        <v>1838</v>
      </c>
      <c r="W269" s="9" t="s">
        <v>1838</v>
      </c>
      <c r="X269" s="9" t="s">
        <v>1838</v>
      </c>
      <c r="Y269" s="9" t="s">
        <v>1841</v>
      </c>
      <c r="Z269">
        <v>4842179.1619999995</v>
      </c>
      <c r="AA269">
        <v>12553041.036323847</v>
      </c>
      <c r="AB269" s="9" t="s">
        <v>1850</v>
      </c>
      <c r="AC269" s="9" t="s">
        <v>1838</v>
      </c>
    </row>
    <row r="270" spans="1:29">
      <c r="A270" s="9" t="s">
        <v>1059</v>
      </c>
      <c r="B270" s="9" t="s">
        <v>131</v>
      </c>
      <c r="C270" s="9" t="s">
        <v>132</v>
      </c>
      <c r="D270" s="9" t="s">
        <v>82</v>
      </c>
      <c r="E270">
        <v>2024</v>
      </c>
      <c r="F270">
        <v>10214495</v>
      </c>
      <c r="G270">
        <v>1.3100000000000001E-2</v>
      </c>
      <c r="H270">
        <v>154238.87</v>
      </c>
      <c r="I270" s="9" t="s">
        <v>1060</v>
      </c>
      <c r="J270" s="9" t="s">
        <v>1061</v>
      </c>
      <c r="K270" s="9" t="s">
        <v>1062</v>
      </c>
      <c r="L270">
        <v>12762519</v>
      </c>
      <c r="M270" s="8">
        <v>45104</v>
      </c>
      <c r="N270" s="9" t="s">
        <v>132</v>
      </c>
      <c r="O270">
        <v>1.5100000000000001E-2</v>
      </c>
      <c r="P270">
        <v>1</v>
      </c>
      <c r="Q270" s="9" t="s">
        <v>1824</v>
      </c>
      <c r="R270" s="9" t="s">
        <v>1838</v>
      </c>
      <c r="S270" s="9" t="s">
        <v>1839</v>
      </c>
      <c r="T270" s="9" t="s">
        <v>1838</v>
      </c>
      <c r="U270" s="9" t="s">
        <v>1840</v>
      </c>
      <c r="V270" s="9" t="s">
        <v>1838</v>
      </c>
      <c r="W270" s="9" t="s">
        <v>1838</v>
      </c>
      <c r="X270" s="9" t="s">
        <v>1838</v>
      </c>
      <c r="Y270" s="9" t="s">
        <v>1841</v>
      </c>
      <c r="Z270">
        <v>4842179.1619999995</v>
      </c>
      <c r="AA270">
        <v>12553041.036323847</v>
      </c>
      <c r="AB270" s="9" t="s">
        <v>1850</v>
      </c>
      <c r="AC270" s="9" t="s">
        <v>1838</v>
      </c>
    </row>
    <row r="271" spans="1:29">
      <c r="A271" s="9" t="s">
        <v>1063</v>
      </c>
      <c r="B271" s="9" t="s">
        <v>150</v>
      </c>
      <c r="C271" s="9" t="s">
        <v>151</v>
      </c>
      <c r="D271" s="9" t="s">
        <v>71</v>
      </c>
      <c r="E271">
        <v>2023</v>
      </c>
      <c r="F271">
        <v>8054845</v>
      </c>
      <c r="G271">
        <v>1.83E-2</v>
      </c>
      <c r="H271">
        <v>147403.66</v>
      </c>
      <c r="I271" s="9" t="s">
        <v>1064</v>
      </c>
      <c r="J271" s="9" t="s">
        <v>1065</v>
      </c>
      <c r="K271" s="9" t="s">
        <v>252</v>
      </c>
      <c r="L271">
        <v>7249912</v>
      </c>
      <c r="M271" s="8">
        <v>43901</v>
      </c>
      <c r="N271" s="9" t="s">
        <v>151</v>
      </c>
      <c r="O271">
        <v>1.83E-2</v>
      </c>
      <c r="P271">
        <v>1</v>
      </c>
      <c r="Q271" s="9" t="s">
        <v>1822</v>
      </c>
      <c r="R271" s="9" t="s">
        <v>1838</v>
      </c>
      <c r="S271" s="9" t="s">
        <v>1839</v>
      </c>
      <c r="T271" s="9" t="s">
        <v>1838</v>
      </c>
      <c r="U271" s="9" t="s">
        <v>1840</v>
      </c>
      <c r="V271" s="9" t="s">
        <v>1838</v>
      </c>
      <c r="W271" s="9" t="s">
        <v>1838</v>
      </c>
      <c r="X271" s="9" t="s">
        <v>1838</v>
      </c>
      <c r="Y271" s="9" t="s">
        <v>1841</v>
      </c>
      <c r="Z271">
        <v>4842179.1619999995</v>
      </c>
      <c r="AA271">
        <v>12553041.036323847</v>
      </c>
      <c r="AB271" s="9" t="s">
        <v>1850</v>
      </c>
      <c r="AC271" s="9" t="s">
        <v>1838</v>
      </c>
    </row>
    <row r="272" spans="1:29">
      <c r="A272" s="9" t="s">
        <v>1066</v>
      </c>
      <c r="B272" s="9" t="s">
        <v>137</v>
      </c>
      <c r="C272" s="9" t="s">
        <v>138</v>
      </c>
      <c r="D272" s="9" t="s">
        <v>82</v>
      </c>
      <c r="E272">
        <v>2021</v>
      </c>
      <c r="F272">
        <v>7268460</v>
      </c>
      <c r="G272">
        <v>1.4999999999999999E-2</v>
      </c>
      <c r="H272">
        <v>109026.9</v>
      </c>
      <c r="I272" s="9" t="s">
        <v>1067</v>
      </c>
      <c r="J272" s="9" t="s">
        <v>60</v>
      </c>
      <c r="K272" s="9" t="s">
        <v>519</v>
      </c>
      <c r="L272">
        <v>6893719</v>
      </c>
      <c r="M272" s="8">
        <v>44969</v>
      </c>
      <c r="N272" s="9" t="s">
        <v>138</v>
      </c>
      <c r="O272">
        <v>1.4999999999999999E-2</v>
      </c>
      <c r="P272">
        <v>1</v>
      </c>
      <c r="Q272" s="9" t="s">
        <v>1824</v>
      </c>
      <c r="R272" s="9" t="s">
        <v>1838</v>
      </c>
      <c r="S272" s="9" t="s">
        <v>1839</v>
      </c>
      <c r="T272" s="9" t="s">
        <v>1838</v>
      </c>
      <c r="U272" s="9" t="s">
        <v>1840</v>
      </c>
      <c r="V272" s="9" t="s">
        <v>1842</v>
      </c>
      <c r="W272" s="9" t="s">
        <v>1838</v>
      </c>
      <c r="X272" s="9" t="s">
        <v>1838</v>
      </c>
      <c r="Y272" s="9" t="s">
        <v>1841</v>
      </c>
      <c r="Z272">
        <v>4842179.1619999995</v>
      </c>
      <c r="AA272">
        <v>12553041.036323847</v>
      </c>
      <c r="AB272" s="9" t="s">
        <v>1850</v>
      </c>
      <c r="AC272" s="9" t="s">
        <v>1843</v>
      </c>
    </row>
    <row r="273" spans="1:29">
      <c r="A273" s="9" t="s">
        <v>1068</v>
      </c>
      <c r="B273" s="9" t="s">
        <v>87</v>
      </c>
      <c r="C273" s="9" t="s">
        <v>88</v>
      </c>
      <c r="D273" s="9" t="s">
        <v>97</v>
      </c>
      <c r="E273">
        <v>2022</v>
      </c>
      <c r="F273">
        <v>1817519</v>
      </c>
      <c r="G273">
        <v>2.0500000000000001E-2</v>
      </c>
      <c r="H273">
        <v>37259.14</v>
      </c>
      <c r="I273" s="9" t="s">
        <v>1069</v>
      </c>
      <c r="J273" s="9" t="s">
        <v>1070</v>
      </c>
      <c r="K273" s="9" t="s">
        <v>1071</v>
      </c>
      <c r="L273">
        <v>2157087</v>
      </c>
      <c r="M273" s="8">
        <v>43856</v>
      </c>
      <c r="N273" s="9" t="s">
        <v>88</v>
      </c>
      <c r="O273">
        <v>2.0500000000000001E-2</v>
      </c>
      <c r="P273">
        <v>1</v>
      </c>
      <c r="Q273" s="9" t="s">
        <v>1821</v>
      </c>
      <c r="R273" s="9" t="s">
        <v>1838</v>
      </c>
      <c r="S273" s="9" t="s">
        <v>1839</v>
      </c>
      <c r="T273" s="9" t="s">
        <v>1838</v>
      </c>
      <c r="U273" s="9" t="s">
        <v>1840</v>
      </c>
      <c r="V273" s="9" t="s">
        <v>1838</v>
      </c>
      <c r="W273" s="9" t="s">
        <v>1838</v>
      </c>
      <c r="X273" s="9" t="s">
        <v>1838</v>
      </c>
      <c r="Y273" s="9" t="s">
        <v>1841</v>
      </c>
      <c r="Z273">
        <v>4842179.1619999995</v>
      </c>
      <c r="AA273">
        <v>12553041.036323847</v>
      </c>
      <c r="AB273" s="9" t="s">
        <v>1850</v>
      </c>
      <c r="AC273" s="9" t="s">
        <v>1838</v>
      </c>
    </row>
    <row r="274" spans="1:29">
      <c r="A274" s="9" t="s">
        <v>1072</v>
      </c>
      <c r="B274" s="9" t="s">
        <v>87</v>
      </c>
      <c r="C274" s="9" t="s">
        <v>88</v>
      </c>
      <c r="D274" s="9" t="s">
        <v>71</v>
      </c>
      <c r="E274">
        <v>2021</v>
      </c>
      <c r="F274">
        <v>6803154</v>
      </c>
      <c r="G274">
        <v>1.8499999999999999E-2</v>
      </c>
      <c r="H274">
        <v>125858.35</v>
      </c>
      <c r="I274" s="9" t="s">
        <v>1073</v>
      </c>
      <c r="J274" s="9" t="s">
        <v>1074</v>
      </c>
      <c r="K274" s="9" t="s">
        <v>986</v>
      </c>
      <c r="L274">
        <v>7973953</v>
      </c>
      <c r="M274" s="8">
        <v>45032</v>
      </c>
      <c r="N274" s="9" t="s">
        <v>88</v>
      </c>
      <c r="O274">
        <v>1.8499999999999999E-2</v>
      </c>
      <c r="P274">
        <v>1</v>
      </c>
      <c r="Q274" s="9" t="s">
        <v>1822</v>
      </c>
      <c r="R274" s="9" t="s">
        <v>1838</v>
      </c>
      <c r="S274" s="9" t="s">
        <v>1839</v>
      </c>
      <c r="T274" s="9" t="s">
        <v>1838</v>
      </c>
      <c r="U274" s="9" t="s">
        <v>1840</v>
      </c>
      <c r="V274" s="9" t="s">
        <v>1838</v>
      </c>
      <c r="W274" s="9" t="s">
        <v>1838</v>
      </c>
      <c r="X274" s="9" t="s">
        <v>1838</v>
      </c>
      <c r="Y274" s="9" t="s">
        <v>1841</v>
      </c>
      <c r="Z274">
        <v>4842179.1619999995</v>
      </c>
      <c r="AA274">
        <v>12553041.036323847</v>
      </c>
      <c r="AB274" s="9" t="s">
        <v>1850</v>
      </c>
      <c r="AC274" s="9" t="s">
        <v>1838</v>
      </c>
    </row>
    <row r="275" spans="1:29">
      <c r="A275" s="9" t="s">
        <v>1075</v>
      </c>
      <c r="B275" s="9" t="s">
        <v>63</v>
      </c>
      <c r="C275" s="9" t="s">
        <v>64</v>
      </c>
      <c r="D275" s="9" t="s">
        <v>71</v>
      </c>
      <c r="E275">
        <v>2021</v>
      </c>
      <c r="F275">
        <v>3736456</v>
      </c>
      <c r="G275">
        <v>1.8499999999999999E-2</v>
      </c>
      <c r="H275">
        <v>69124.44</v>
      </c>
      <c r="I275" s="9" t="s">
        <v>1076</v>
      </c>
      <c r="J275" s="9" t="s">
        <v>1077</v>
      </c>
      <c r="K275" s="9" t="s">
        <v>1078</v>
      </c>
      <c r="L275">
        <v>3878489</v>
      </c>
      <c r="M275" s="8">
        <v>44007</v>
      </c>
      <c r="N275" s="9" t="s">
        <v>64</v>
      </c>
      <c r="O275">
        <v>1.8499999999999999E-2</v>
      </c>
      <c r="P275">
        <v>1</v>
      </c>
      <c r="Q275" s="9" t="s">
        <v>1822</v>
      </c>
      <c r="R275" s="9" t="s">
        <v>1838</v>
      </c>
      <c r="S275" s="9" t="s">
        <v>1839</v>
      </c>
      <c r="T275" s="9" t="s">
        <v>1838</v>
      </c>
      <c r="U275" s="9" t="s">
        <v>1840</v>
      </c>
      <c r="V275" s="9" t="s">
        <v>1838</v>
      </c>
      <c r="W275" s="9" t="s">
        <v>1838</v>
      </c>
      <c r="X275" s="9" t="s">
        <v>1838</v>
      </c>
      <c r="Y275" s="9" t="s">
        <v>1841</v>
      </c>
      <c r="Z275">
        <v>4842179.1619999995</v>
      </c>
      <c r="AA275">
        <v>12553041.036323847</v>
      </c>
      <c r="AB275" s="9" t="s">
        <v>1850</v>
      </c>
      <c r="AC275" s="9" t="s">
        <v>1838</v>
      </c>
    </row>
    <row r="276" spans="1:29">
      <c r="A276" s="9" t="s">
        <v>1079</v>
      </c>
      <c r="B276" s="9" t="s">
        <v>150</v>
      </c>
      <c r="C276" s="9" t="s">
        <v>151</v>
      </c>
      <c r="D276" s="9" t="s">
        <v>51</v>
      </c>
      <c r="E276">
        <v>2024</v>
      </c>
      <c r="F276">
        <v>825208</v>
      </c>
      <c r="G276">
        <v>1.23E-2</v>
      </c>
      <c r="H276">
        <v>10150.06</v>
      </c>
      <c r="I276" s="9" t="s">
        <v>1080</v>
      </c>
      <c r="J276" s="9" t="s">
        <v>1081</v>
      </c>
      <c r="K276" s="9" t="s">
        <v>1082</v>
      </c>
      <c r="L276">
        <v>920601</v>
      </c>
      <c r="M276" s="8">
        <v>45703</v>
      </c>
      <c r="N276" s="9" t="s">
        <v>151</v>
      </c>
      <c r="O276">
        <v>1.23E-2</v>
      </c>
      <c r="P276">
        <v>1</v>
      </c>
      <c r="Q276" s="9" t="s">
        <v>1820</v>
      </c>
      <c r="R276" s="9" t="s">
        <v>1838</v>
      </c>
      <c r="S276" s="9" t="s">
        <v>1839</v>
      </c>
      <c r="T276" s="9" t="s">
        <v>1838</v>
      </c>
      <c r="U276" s="9" t="s">
        <v>1840</v>
      </c>
      <c r="V276" s="9" t="s">
        <v>1838</v>
      </c>
      <c r="W276" s="9" t="s">
        <v>1838</v>
      </c>
      <c r="X276" s="9" t="s">
        <v>1838</v>
      </c>
      <c r="Y276" s="9" t="s">
        <v>1841</v>
      </c>
      <c r="Z276">
        <v>4842179.1619999995</v>
      </c>
      <c r="AA276">
        <v>12553041.036323847</v>
      </c>
      <c r="AB276" s="9" t="s">
        <v>1850</v>
      </c>
      <c r="AC276" s="9" t="s">
        <v>1838</v>
      </c>
    </row>
    <row r="277" spans="1:29">
      <c r="A277" s="9" t="s">
        <v>1083</v>
      </c>
      <c r="B277" s="9" t="s">
        <v>56</v>
      </c>
      <c r="C277" s="9" t="s">
        <v>57</v>
      </c>
      <c r="D277" s="9" t="s">
        <v>97</v>
      </c>
      <c r="E277">
        <v>2022</v>
      </c>
      <c r="F277">
        <v>1149459</v>
      </c>
      <c r="G277">
        <v>2.0400000000000001E-2</v>
      </c>
      <c r="H277">
        <v>23448.959999999999</v>
      </c>
      <c r="I277" s="9" t="s">
        <v>1084</v>
      </c>
      <c r="J277" s="9" t="s">
        <v>1085</v>
      </c>
      <c r="K277" s="9" t="s">
        <v>806</v>
      </c>
      <c r="L277">
        <v>1431856</v>
      </c>
      <c r="M277" s="8">
        <v>45277</v>
      </c>
      <c r="N277" s="9" t="s">
        <v>57</v>
      </c>
      <c r="O277">
        <v>2.0400000000000001E-2</v>
      </c>
      <c r="P277">
        <v>1</v>
      </c>
      <c r="Q277" s="9" t="s">
        <v>1821</v>
      </c>
      <c r="R277" s="9" t="s">
        <v>1838</v>
      </c>
      <c r="S277" s="9" t="s">
        <v>1839</v>
      </c>
      <c r="T277" s="9" t="s">
        <v>1838</v>
      </c>
      <c r="U277" s="9" t="s">
        <v>1840</v>
      </c>
      <c r="V277" s="9" t="s">
        <v>1838</v>
      </c>
      <c r="W277" s="9" t="s">
        <v>1838</v>
      </c>
      <c r="X277" s="9" t="s">
        <v>1838</v>
      </c>
      <c r="Y277" s="9" t="s">
        <v>1841</v>
      </c>
      <c r="Z277">
        <v>4842179.1619999995</v>
      </c>
      <c r="AA277">
        <v>12553041.036323847</v>
      </c>
      <c r="AB277" s="9" t="s">
        <v>1850</v>
      </c>
      <c r="AC277" s="9" t="s">
        <v>1838</v>
      </c>
    </row>
    <row r="278" spans="1:29">
      <c r="A278" s="9" t="s">
        <v>1086</v>
      </c>
      <c r="B278" s="9" t="s">
        <v>87</v>
      </c>
      <c r="C278" s="9" t="s">
        <v>84</v>
      </c>
      <c r="D278" s="9" t="s">
        <v>97</v>
      </c>
      <c r="E278">
        <v>2024</v>
      </c>
      <c r="F278">
        <v>993161</v>
      </c>
      <c r="G278">
        <v>2.0500000000000001E-2</v>
      </c>
      <c r="H278">
        <v>20359.8</v>
      </c>
      <c r="I278" s="9" t="s">
        <v>1087</v>
      </c>
      <c r="J278" s="9" t="s">
        <v>1088</v>
      </c>
      <c r="K278" s="9" t="s">
        <v>620</v>
      </c>
      <c r="L278">
        <v>1050289</v>
      </c>
      <c r="M278" s="8">
        <v>44243</v>
      </c>
      <c r="N278" s="9" t="s">
        <v>88</v>
      </c>
      <c r="O278">
        <v>2.0500000000000001E-2</v>
      </c>
      <c r="P278">
        <v>1</v>
      </c>
      <c r="Q278" s="9" t="s">
        <v>1821</v>
      </c>
      <c r="R278" s="9" t="s">
        <v>1838</v>
      </c>
      <c r="S278" s="9" t="s">
        <v>1845</v>
      </c>
      <c r="T278" s="9" t="s">
        <v>1838</v>
      </c>
      <c r="U278" s="9" t="s">
        <v>1840</v>
      </c>
      <c r="V278" s="9" t="s">
        <v>1838</v>
      </c>
      <c r="W278" s="9" t="s">
        <v>1838</v>
      </c>
      <c r="X278" s="9" t="s">
        <v>1838</v>
      </c>
      <c r="Y278" s="9" t="s">
        <v>1841</v>
      </c>
      <c r="Z278">
        <v>4842179.1619999995</v>
      </c>
      <c r="AA278">
        <v>12553041.036323847</v>
      </c>
      <c r="AB278" s="9" t="s">
        <v>1850</v>
      </c>
      <c r="AC278" s="9" t="s">
        <v>1843</v>
      </c>
    </row>
    <row r="279" spans="1:29">
      <c r="A279" s="9" t="s">
        <v>1089</v>
      </c>
      <c r="B279" s="9" t="s">
        <v>150</v>
      </c>
      <c r="C279" s="9" t="s">
        <v>151</v>
      </c>
      <c r="D279" s="9" t="s">
        <v>97</v>
      </c>
      <c r="E279">
        <v>2022</v>
      </c>
      <c r="F279">
        <v>1664042</v>
      </c>
      <c r="G279">
        <v>2.0299999999999999E-2</v>
      </c>
      <c r="H279">
        <v>33780.050000000003</v>
      </c>
      <c r="I279" s="9" t="s">
        <v>1090</v>
      </c>
      <c r="J279" s="9" t="s">
        <v>937</v>
      </c>
      <c r="K279" s="9" t="s">
        <v>1091</v>
      </c>
      <c r="L279">
        <v>1614526</v>
      </c>
      <c r="M279" s="8">
        <v>44577</v>
      </c>
      <c r="N279" s="9" t="s">
        <v>151</v>
      </c>
      <c r="O279">
        <v>2.0299999999999999E-2</v>
      </c>
      <c r="P279">
        <v>1</v>
      </c>
      <c r="Q279" s="9" t="s">
        <v>1821</v>
      </c>
      <c r="R279" s="9" t="s">
        <v>1838</v>
      </c>
      <c r="S279" s="9" t="s">
        <v>1839</v>
      </c>
      <c r="T279" s="9" t="s">
        <v>1838</v>
      </c>
      <c r="U279" s="9" t="s">
        <v>1840</v>
      </c>
      <c r="V279" s="9" t="s">
        <v>1838</v>
      </c>
      <c r="W279" s="9" t="s">
        <v>1838</v>
      </c>
      <c r="X279" s="9" t="s">
        <v>1838</v>
      </c>
      <c r="Y279" s="9" t="s">
        <v>1841</v>
      </c>
      <c r="Z279">
        <v>4842179.1619999995</v>
      </c>
      <c r="AA279">
        <v>12553041.036323847</v>
      </c>
      <c r="AB279" s="9" t="s">
        <v>1850</v>
      </c>
      <c r="AC279" s="9" t="s">
        <v>1838</v>
      </c>
    </row>
    <row r="280" spans="1:29">
      <c r="A280" s="9" t="s">
        <v>1092</v>
      </c>
      <c r="B280" s="9" t="s">
        <v>63</v>
      </c>
      <c r="C280" s="9" t="s">
        <v>64</v>
      </c>
      <c r="D280" s="9" t="s">
        <v>58</v>
      </c>
      <c r="E280">
        <v>2021</v>
      </c>
      <c r="F280">
        <v>650671</v>
      </c>
      <c r="G280">
        <v>9.4999999999999998E-3</v>
      </c>
      <c r="H280">
        <v>6181.37</v>
      </c>
      <c r="I280" s="9" t="s">
        <v>1093</v>
      </c>
      <c r="J280" s="9" t="s">
        <v>1094</v>
      </c>
      <c r="K280" s="9" t="s">
        <v>385</v>
      </c>
      <c r="L280">
        <v>628058</v>
      </c>
      <c r="M280" s="8">
        <v>46640</v>
      </c>
      <c r="N280" s="9" t="s">
        <v>64</v>
      </c>
      <c r="O280">
        <v>9.4999999999999998E-3</v>
      </c>
      <c r="P280">
        <v>1</v>
      </c>
      <c r="Q280" s="9" t="s">
        <v>1823</v>
      </c>
      <c r="R280" s="9" t="s">
        <v>1838</v>
      </c>
      <c r="S280" s="9" t="s">
        <v>1839</v>
      </c>
      <c r="T280" s="9" t="s">
        <v>1838</v>
      </c>
      <c r="U280" s="9" t="s">
        <v>1840</v>
      </c>
      <c r="V280" s="9" t="s">
        <v>1838</v>
      </c>
      <c r="W280" s="9" t="s">
        <v>1838</v>
      </c>
      <c r="X280" s="9" t="s">
        <v>1842</v>
      </c>
      <c r="Y280" s="9" t="s">
        <v>1841</v>
      </c>
      <c r="Z280">
        <v>4842179.1619999995</v>
      </c>
      <c r="AA280">
        <v>12553041.036323847</v>
      </c>
      <c r="AB280" s="9" t="s">
        <v>1850</v>
      </c>
      <c r="AC280" s="9" t="s">
        <v>1843</v>
      </c>
    </row>
    <row r="281" spans="1:29">
      <c r="A281" s="9" t="s">
        <v>1095</v>
      </c>
      <c r="B281" s="9" t="s">
        <v>101</v>
      </c>
      <c r="C281" s="9" t="s">
        <v>102</v>
      </c>
      <c r="D281" s="9" t="s">
        <v>82</v>
      </c>
      <c r="E281">
        <v>2021</v>
      </c>
      <c r="F281">
        <v>2251454</v>
      </c>
      <c r="G281">
        <v>1.52E-2</v>
      </c>
      <c r="H281">
        <v>34222.1</v>
      </c>
      <c r="I281" s="9" t="s">
        <v>1096</v>
      </c>
      <c r="J281" s="9" t="s">
        <v>1097</v>
      </c>
      <c r="K281" s="9" t="s">
        <v>318</v>
      </c>
      <c r="L281">
        <v>2666087</v>
      </c>
      <c r="M281" s="8">
        <v>44521</v>
      </c>
      <c r="N281" s="9" t="s">
        <v>102</v>
      </c>
      <c r="O281">
        <v>1.52E-2</v>
      </c>
      <c r="P281">
        <v>1</v>
      </c>
      <c r="Q281" s="9" t="s">
        <v>1824</v>
      </c>
      <c r="R281" s="9" t="s">
        <v>1838</v>
      </c>
      <c r="S281" s="9" t="s">
        <v>1839</v>
      </c>
      <c r="T281" s="9" t="s">
        <v>1838</v>
      </c>
      <c r="U281" s="9" t="s">
        <v>1840</v>
      </c>
      <c r="V281" s="9" t="s">
        <v>1838</v>
      </c>
      <c r="W281" s="9" t="s">
        <v>1838</v>
      </c>
      <c r="X281" s="9" t="s">
        <v>1838</v>
      </c>
      <c r="Y281" s="9" t="s">
        <v>1841</v>
      </c>
      <c r="Z281">
        <v>4842179.1619999995</v>
      </c>
      <c r="AA281">
        <v>12553041.036323847</v>
      </c>
      <c r="AB281" s="9" t="s">
        <v>1850</v>
      </c>
      <c r="AC281" s="9" t="s">
        <v>1838</v>
      </c>
    </row>
    <row r="282" spans="1:29">
      <c r="A282" s="9" t="s">
        <v>1098</v>
      </c>
      <c r="B282" s="9" t="s">
        <v>69</v>
      </c>
      <c r="C282" s="9" t="s">
        <v>70</v>
      </c>
      <c r="D282" s="9" t="s">
        <v>51</v>
      </c>
      <c r="E282">
        <v>2023</v>
      </c>
      <c r="F282">
        <v>585844</v>
      </c>
      <c r="G282">
        <v>1.26E-2</v>
      </c>
      <c r="H282">
        <v>7381.63</v>
      </c>
      <c r="I282" s="9" t="s">
        <v>1099</v>
      </c>
      <c r="J282" s="9" t="s">
        <v>1100</v>
      </c>
      <c r="K282" s="9" t="s">
        <v>1101</v>
      </c>
      <c r="L282">
        <v>651388</v>
      </c>
      <c r="M282" s="8">
        <v>44750</v>
      </c>
      <c r="N282" s="9" t="s">
        <v>70</v>
      </c>
      <c r="O282">
        <v>1.26E-2</v>
      </c>
      <c r="P282">
        <v>1</v>
      </c>
      <c r="Q282" s="9" t="s">
        <v>1820</v>
      </c>
      <c r="R282" s="9" t="s">
        <v>1838</v>
      </c>
      <c r="S282" s="9" t="s">
        <v>1839</v>
      </c>
      <c r="T282" s="9" t="s">
        <v>1838</v>
      </c>
      <c r="U282" s="9" t="s">
        <v>1840</v>
      </c>
      <c r="V282" s="9" t="s">
        <v>1838</v>
      </c>
      <c r="W282" s="9" t="s">
        <v>1838</v>
      </c>
      <c r="X282" s="9" t="s">
        <v>1838</v>
      </c>
      <c r="Y282" s="9" t="s">
        <v>1841</v>
      </c>
      <c r="Z282">
        <v>4842179.1619999995</v>
      </c>
      <c r="AA282">
        <v>12553041.036323847</v>
      </c>
      <c r="AB282" s="9" t="s">
        <v>1850</v>
      </c>
      <c r="AC282" s="9" t="s">
        <v>1838</v>
      </c>
    </row>
    <row r="283" spans="1:29">
      <c r="A283" s="9" t="s">
        <v>1102</v>
      </c>
      <c r="B283" s="9" t="s">
        <v>56</v>
      </c>
      <c r="C283" s="9" t="s">
        <v>57</v>
      </c>
      <c r="D283" s="9" t="s">
        <v>97</v>
      </c>
      <c r="E283">
        <v>2022</v>
      </c>
      <c r="F283">
        <v>3141007</v>
      </c>
      <c r="G283">
        <v>2.0400000000000001E-2</v>
      </c>
      <c r="H283">
        <v>64076.54</v>
      </c>
      <c r="I283" s="9" t="s">
        <v>1103</v>
      </c>
      <c r="J283" s="9" t="s">
        <v>1104</v>
      </c>
      <c r="K283" s="9" t="s">
        <v>1105</v>
      </c>
      <c r="L283">
        <v>2957056</v>
      </c>
      <c r="M283" s="8">
        <v>44766</v>
      </c>
      <c r="N283" s="9" t="s">
        <v>57</v>
      </c>
      <c r="O283">
        <v>2.0400000000000001E-2</v>
      </c>
      <c r="P283">
        <v>1</v>
      </c>
      <c r="Q283" s="9" t="s">
        <v>1821</v>
      </c>
      <c r="R283" s="9" t="s">
        <v>1838</v>
      </c>
      <c r="S283" s="9" t="s">
        <v>1839</v>
      </c>
      <c r="T283" s="9" t="s">
        <v>1838</v>
      </c>
      <c r="U283" s="9" t="s">
        <v>1840</v>
      </c>
      <c r="V283" s="9" t="s">
        <v>1838</v>
      </c>
      <c r="W283" s="9" t="s">
        <v>1838</v>
      </c>
      <c r="X283" s="9" t="s">
        <v>1838</v>
      </c>
      <c r="Y283" s="9" t="s">
        <v>1841</v>
      </c>
      <c r="Z283">
        <v>4842179.1619999995</v>
      </c>
      <c r="AA283">
        <v>12553041.036323847</v>
      </c>
      <c r="AB283" s="9" t="s">
        <v>1850</v>
      </c>
      <c r="AC283" s="9" t="s">
        <v>1838</v>
      </c>
    </row>
    <row r="284" spans="1:29">
      <c r="A284" s="9" t="s">
        <v>1106</v>
      </c>
      <c r="B284" s="9" t="s">
        <v>131</v>
      </c>
      <c r="C284" s="9" t="s">
        <v>132</v>
      </c>
      <c r="D284" s="9" t="s">
        <v>51</v>
      </c>
      <c r="E284">
        <v>2023</v>
      </c>
      <c r="F284">
        <v>1143125</v>
      </c>
      <c r="G284">
        <v>1.2800000000000001E-2</v>
      </c>
      <c r="H284">
        <v>14632</v>
      </c>
      <c r="I284" s="9" t="s">
        <v>1107</v>
      </c>
      <c r="J284" s="9" t="s">
        <v>1108</v>
      </c>
      <c r="K284" s="9" t="s">
        <v>1109</v>
      </c>
      <c r="L284">
        <v>1255683</v>
      </c>
      <c r="M284" s="8">
        <v>44303</v>
      </c>
      <c r="N284" s="9" t="s">
        <v>132</v>
      </c>
      <c r="O284">
        <v>1.2800000000000001E-2</v>
      </c>
      <c r="P284">
        <v>1</v>
      </c>
      <c r="Q284" s="9" t="s">
        <v>1820</v>
      </c>
      <c r="R284" s="9" t="s">
        <v>1838</v>
      </c>
      <c r="S284" s="9" t="s">
        <v>1839</v>
      </c>
      <c r="T284" s="9" t="s">
        <v>1838</v>
      </c>
      <c r="U284" s="9" t="s">
        <v>1840</v>
      </c>
      <c r="V284" s="9" t="s">
        <v>1838</v>
      </c>
      <c r="W284" s="9" t="s">
        <v>1838</v>
      </c>
      <c r="X284" s="9" t="s">
        <v>1838</v>
      </c>
      <c r="Y284" s="9" t="s">
        <v>1841</v>
      </c>
      <c r="Z284">
        <v>4842179.1619999995</v>
      </c>
      <c r="AA284">
        <v>12553041.036323847</v>
      </c>
      <c r="AB284" s="9" t="s">
        <v>1850</v>
      </c>
      <c r="AC284" s="9" t="s">
        <v>1838</v>
      </c>
    </row>
    <row r="285" spans="1:29">
      <c r="A285" s="9" t="s">
        <v>1110</v>
      </c>
      <c r="B285" s="9" t="s">
        <v>87</v>
      </c>
      <c r="C285" s="9" t="s">
        <v>88</v>
      </c>
      <c r="D285" s="9" t="s">
        <v>97</v>
      </c>
      <c r="E285">
        <v>2022</v>
      </c>
      <c r="F285">
        <v>3288382</v>
      </c>
      <c r="G285">
        <v>2.0500000000000001E-2</v>
      </c>
      <c r="H285">
        <v>67411.83</v>
      </c>
      <c r="I285" s="9" t="s">
        <v>1111</v>
      </c>
      <c r="J285" s="9" t="s">
        <v>1112</v>
      </c>
      <c r="K285" s="9" t="s">
        <v>1113</v>
      </c>
      <c r="L285">
        <v>2996638</v>
      </c>
      <c r="M285" s="8">
        <v>43527</v>
      </c>
      <c r="N285" s="9" t="s">
        <v>88</v>
      </c>
      <c r="O285">
        <v>2.0500000000000001E-2</v>
      </c>
      <c r="P285">
        <v>1</v>
      </c>
      <c r="Q285" s="9" t="s">
        <v>1821</v>
      </c>
      <c r="R285" s="9" t="s">
        <v>1838</v>
      </c>
      <c r="S285" s="9" t="s">
        <v>1839</v>
      </c>
      <c r="T285" s="9" t="s">
        <v>1838</v>
      </c>
      <c r="U285" s="9" t="s">
        <v>1840</v>
      </c>
      <c r="V285" s="9" t="s">
        <v>1838</v>
      </c>
      <c r="W285" s="9" t="s">
        <v>1838</v>
      </c>
      <c r="X285" s="9" t="s">
        <v>1838</v>
      </c>
      <c r="Y285" s="9" t="s">
        <v>1841</v>
      </c>
      <c r="Z285">
        <v>4842179.1619999995</v>
      </c>
      <c r="AA285">
        <v>12553041.036323847</v>
      </c>
      <c r="AB285" s="9" t="s">
        <v>1850</v>
      </c>
      <c r="AC285" s="9" t="s">
        <v>1838</v>
      </c>
    </row>
    <row r="286" spans="1:29">
      <c r="A286" s="9" t="s">
        <v>1114</v>
      </c>
      <c r="B286" s="9" t="s">
        <v>137</v>
      </c>
      <c r="C286" s="9" t="s">
        <v>138</v>
      </c>
      <c r="D286" s="9" t="s">
        <v>58</v>
      </c>
      <c r="E286">
        <v>2022</v>
      </c>
      <c r="F286">
        <v>2512271</v>
      </c>
      <c r="G286">
        <v>1.2200000000000001E-2</v>
      </c>
      <c r="H286">
        <v>24369.03</v>
      </c>
      <c r="I286" s="9" t="s">
        <v>1115</v>
      </c>
      <c r="J286" s="9" t="s">
        <v>1116</v>
      </c>
      <c r="K286" s="9" t="s">
        <v>1117</v>
      </c>
      <c r="L286">
        <v>2536173</v>
      </c>
      <c r="M286" s="8">
        <v>45662</v>
      </c>
      <c r="N286" s="9" t="s">
        <v>138</v>
      </c>
      <c r="O286">
        <v>9.7000000000000003E-3</v>
      </c>
      <c r="P286">
        <v>1</v>
      </c>
      <c r="Q286" s="9" t="s">
        <v>1823</v>
      </c>
      <c r="R286" s="9" t="s">
        <v>1838</v>
      </c>
      <c r="S286" s="9" t="s">
        <v>1839</v>
      </c>
      <c r="T286" s="9" t="s">
        <v>1838</v>
      </c>
      <c r="U286" s="9" t="s">
        <v>1840</v>
      </c>
      <c r="V286" s="9" t="s">
        <v>1838</v>
      </c>
      <c r="W286" s="9" t="s">
        <v>1838</v>
      </c>
      <c r="X286" s="9" t="s">
        <v>1838</v>
      </c>
      <c r="Y286" s="9" t="s">
        <v>1841</v>
      </c>
      <c r="Z286">
        <v>4842179.1619999995</v>
      </c>
      <c r="AA286">
        <v>12553041.036323847</v>
      </c>
      <c r="AB286" s="9" t="s">
        <v>1850</v>
      </c>
      <c r="AC286" s="9" t="s">
        <v>1838</v>
      </c>
    </row>
    <row r="287" spans="1:29">
      <c r="A287" s="9" t="s">
        <v>1118</v>
      </c>
      <c r="B287" s="9" t="s">
        <v>56</v>
      </c>
      <c r="C287" s="9" t="s">
        <v>57</v>
      </c>
      <c r="D287" s="9" t="s">
        <v>51</v>
      </c>
      <c r="E287">
        <v>2021</v>
      </c>
      <c r="F287">
        <v>736675</v>
      </c>
      <c r="G287">
        <v>1.24E-2</v>
      </c>
      <c r="H287">
        <v>9134.77</v>
      </c>
      <c r="I287" s="9" t="s">
        <v>1119</v>
      </c>
      <c r="J287" s="9" t="s">
        <v>1120</v>
      </c>
      <c r="K287" s="9" t="s">
        <v>560</v>
      </c>
      <c r="L287">
        <v>741533</v>
      </c>
      <c r="M287" s="8">
        <v>44637</v>
      </c>
      <c r="N287" s="9" t="s">
        <v>57</v>
      </c>
      <c r="O287">
        <v>1.24E-2</v>
      </c>
      <c r="P287">
        <v>1</v>
      </c>
      <c r="Q287" s="9" t="s">
        <v>1820</v>
      </c>
      <c r="R287" s="9" t="s">
        <v>1838</v>
      </c>
      <c r="S287" s="9" t="s">
        <v>1839</v>
      </c>
      <c r="T287" s="9" t="s">
        <v>1838</v>
      </c>
      <c r="U287" s="9" t="s">
        <v>1840</v>
      </c>
      <c r="V287" s="9" t="s">
        <v>1838</v>
      </c>
      <c r="W287" s="9" t="s">
        <v>1838</v>
      </c>
      <c r="X287" s="9" t="s">
        <v>1838</v>
      </c>
      <c r="Y287" s="9" t="s">
        <v>1841</v>
      </c>
      <c r="Z287">
        <v>4842179.1619999995</v>
      </c>
      <c r="AA287">
        <v>12553041.036323847</v>
      </c>
      <c r="AB287" s="9" t="s">
        <v>1850</v>
      </c>
      <c r="AC287" s="9" t="s">
        <v>1838</v>
      </c>
    </row>
    <row r="288" spans="1:29">
      <c r="A288" s="9" t="s">
        <v>1121</v>
      </c>
      <c r="B288" s="9" t="s">
        <v>101</v>
      </c>
      <c r="C288" s="9" t="s">
        <v>102</v>
      </c>
      <c r="D288" s="9" t="s">
        <v>97</v>
      </c>
      <c r="E288">
        <v>2024</v>
      </c>
      <c r="F288">
        <v>1926273</v>
      </c>
      <c r="G288">
        <v>2.0899999999999998E-2</v>
      </c>
      <c r="H288">
        <v>40259.11</v>
      </c>
      <c r="I288" s="9" t="s">
        <v>1122</v>
      </c>
      <c r="J288" s="9" t="s">
        <v>1123</v>
      </c>
      <c r="K288" s="9" t="s">
        <v>1071</v>
      </c>
      <c r="L288">
        <v>1824869</v>
      </c>
      <c r="M288" s="8">
        <v>45043</v>
      </c>
      <c r="N288" s="9" t="s">
        <v>102</v>
      </c>
      <c r="O288">
        <v>2.0899999999999998E-2</v>
      </c>
      <c r="P288">
        <v>1</v>
      </c>
      <c r="Q288" s="9" t="s">
        <v>1821</v>
      </c>
      <c r="R288" s="9" t="s">
        <v>1838</v>
      </c>
      <c r="S288" s="9" t="s">
        <v>1839</v>
      </c>
      <c r="T288" s="9" t="s">
        <v>1838</v>
      </c>
      <c r="U288" s="9" t="s">
        <v>1840</v>
      </c>
      <c r="V288" s="9" t="s">
        <v>1838</v>
      </c>
      <c r="W288" s="9" t="s">
        <v>1838</v>
      </c>
      <c r="X288" s="9" t="s">
        <v>1838</v>
      </c>
      <c r="Y288" s="9" t="s">
        <v>1841</v>
      </c>
      <c r="Z288">
        <v>4842179.1619999995</v>
      </c>
      <c r="AA288">
        <v>12553041.036323847</v>
      </c>
      <c r="AB288" s="9" t="s">
        <v>1850</v>
      </c>
      <c r="AC288" s="9" t="s">
        <v>1838</v>
      </c>
    </row>
    <row r="289" spans="1:29">
      <c r="A289" s="9" t="s">
        <v>1124</v>
      </c>
      <c r="B289" s="9" t="s">
        <v>150</v>
      </c>
      <c r="C289" s="9" t="s">
        <v>151</v>
      </c>
      <c r="D289" s="9" t="s">
        <v>58</v>
      </c>
      <c r="E289">
        <v>2021</v>
      </c>
      <c r="F289">
        <v>951378</v>
      </c>
      <c r="G289">
        <v>9.2999999999999992E-3</v>
      </c>
      <c r="H289">
        <v>8847.82</v>
      </c>
      <c r="I289" s="9" t="s">
        <v>1125</v>
      </c>
      <c r="J289" s="9" t="s">
        <v>1126</v>
      </c>
      <c r="K289" s="9" t="s">
        <v>1117</v>
      </c>
      <c r="L289">
        <v>1119651</v>
      </c>
      <c r="M289" s="8">
        <v>45561</v>
      </c>
      <c r="N289" s="9" t="s">
        <v>151</v>
      </c>
      <c r="O289">
        <v>9.2999999999999992E-3</v>
      </c>
      <c r="P289">
        <v>1</v>
      </c>
      <c r="Q289" s="9" t="s">
        <v>1823</v>
      </c>
      <c r="R289" s="9" t="s">
        <v>1838</v>
      </c>
      <c r="S289" s="9" t="s">
        <v>1839</v>
      </c>
      <c r="T289" s="9" t="s">
        <v>1838</v>
      </c>
      <c r="U289" s="9" t="s">
        <v>1840</v>
      </c>
      <c r="V289" s="9" t="s">
        <v>1838</v>
      </c>
      <c r="W289" s="9" t="s">
        <v>1838</v>
      </c>
      <c r="X289" s="9" t="s">
        <v>1838</v>
      </c>
      <c r="Y289" s="9" t="s">
        <v>1841</v>
      </c>
      <c r="Z289">
        <v>4842179.1619999995</v>
      </c>
      <c r="AA289">
        <v>12553041.036323847</v>
      </c>
      <c r="AB289" s="9" t="s">
        <v>1850</v>
      </c>
      <c r="AC289" s="9" t="s">
        <v>1838</v>
      </c>
    </row>
    <row r="290" spans="1:29">
      <c r="A290" s="9" t="s">
        <v>1127</v>
      </c>
      <c r="B290" s="9" t="s">
        <v>87</v>
      </c>
      <c r="C290" s="9" t="s">
        <v>88</v>
      </c>
      <c r="D290" s="9" t="s">
        <v>97</v>
      </c>
      <c r="E290">
        <v>2024</v>
      </c>
      <c r="F290">
        <v>2747945</v>
      </c>
      <c r="G290">
        <v>2.0500000000000001E-2</v>
      </c>
      <c r="H290">
        <v>56482.87</v>
      </c>
      <c r="I290" s="9" t="s">
        <v>1128</v>
      </c>
      <c r="J290" s="9" t="s">
        <v>1129</v>
      </c>
      <c r="K290" s="9" t="s">
        <v>1130</v>
      </c>
      <c r="L290">
        <v>3075661</v>
      </c>
      <c r="M290" s="8">
        <v>44437</v>
      </c>
      <c r="N290" s="9" t="s">
        <v>88</v>
      </c>
      <c r="O290">
        <v>2.0500000000000001E-2</v>
      </c>
      <c r="P290">
        <v>1</v>
      </c>
      <c r="Q290" s="9" t="s">
        <v>1821</v>
      </c>
      <c r="R290" s="9" t="s">
        <v>1838</v>
      </c>
      <c r="S290" s="9" t="s">
        <v>1839</v>
      </c>
      <c r="T290" s="9" t="s">
        <v>1845</v>
      </c>
      <c r="U290" s="9" t="s">
        <v>1840</v>
      </c>
      <c r="V290" s="9" t="s">
        <v>1838</v>
      </c>
      <c r="W290" s="9" t="s">
        <v>1838</v>
      </c>
      <c r="X290" s="9" t="s">
        <v>1838</v>
      </c>
      <c r="Y290" s="9" t="s">
        <v>1841</v>
      </c>
      <c r="Z290">
        <v>4842179.1619999995</v>
      </c>
      <c r="AA290">
        <v>12553041.036323847</v>
      </c>
      <c r="AB290" s="9" t="s">
        <v>1850</v>
      </c>
      <c r="AC290" s="9" t="s">
        <v>1843</v>
      </c>
    </row>
    <row r="291" spans="1:29">
      <c r="A291" s="9" t="s">
        <v>1131</v>
      </c>
      <c r="B291" s="9" t="s">
        <v>131</v>
      </c>
      <c r="C291" s="9" t="s">
        <v>132</v>
      </c>
      <c r="D291" s="9" t="s">
        <v>97</v>
      </c>
      <c r="E291">
        <v>2021</v>
      </c>
      <c r="F291">
        <v>3020507</v>
      </c>
      <c r="G291">
        <v>2.0799999999999999E-2</v>
      </c>
      <c r="H291">
        <v>62826.55</v>
      </c>
      <c r="I291" s="9" t="s">
        <v>1132</v>
      </c>
      <c r="J291" s="9" t="s">
        <v>1133</v>
      </c>
      <c r="K291" s="9" t="s">
        <v>1134</v>
      </c>
      <c r="L291">
        <v>3185597</v>
      </c>
      <c r="M291" s="8">
        <v>43492</v>
      </c>
      <c r="N291" s="9" t="s">
        <v>132</v>
      </c>
      <c r="O291">
        <v>2.0799999999999999E-2</v>
      </c>
      <c r="P291">
        <v>1</v>
      </c>
      <c r="Q291" s="9" t="s">
        <v>1821</v>
      </c>
      <c r="R291" s="9" t="s">
        <v>1838</v>
      </c>
      <c r="S291" s="9" t="s">
        <v>1839</v>
      </c>
      <c r="T291" s="9" t="s">
        <v>1838</v>
      </c>
      <c r="U291" s="9" t="s">
        <v>1840</v>
      </c>
      <c r="V291" s="9" t="s">
        <v>1838</v>
      </c>
      <c r="W291" s="9" t="s">
        <v>1838</v>
      </c>
      <c r="X291" s="9" t="s">
        <v>1838</v>
      </c>
      <c r="Y291" s="9" t="s">
        <v>1841</v>
      </c>
      <c r="Z291">
        <v>4842179.1619999995</v>
      </c>
      <c r="AA291">
        <v>12553041.036323847</v>
      </c>
      <c r="AB291" s="9" t="s">
        <v>1850</v>
      </c>
      <c r="AC291" s="9" t="s">
        <v>1838</v>
      </c>
    </row>
    <row r="292" spans="1:29">
      <c r="A292" s="9" t="s">
        <v>1135</v>
      </c>
      <c r="B292" s="9" t="s">
        <v>76</v>
      </c>
      <c r="C292" s="9" t="s">
        <v>77</v>
      </c>
      <c r="D292" s="9" t="s">
        <v>82</v>
      </c>
      <c r="E292">
        <v>2023</v>
      </c>
      <c r="F292">
        <v>8472301</v>
      </c>
      <c r="G292">
        <v>1.47E-2</v>
      </c>
      <c r="H292">
        <v>124542.82</v>
      </c>
      <c r="I292" s="9" t="s">
        <v>1136</v>
      </c>
      <c r="J292" s="9" t="s">
        <v>1137</v>
      </c>
      <c r="K292" s="9" t="s">
        <v>84</v>
      </c>
      <c r="L292">
        <v>8861475</v>
      </c>
      <c r="M292" s="8">
        <v>44196</v>
      </c>
      <c r="N292" s="9" t="s">
        <v>77</v>
      </c>
      <c r="O292">
        <v>1.47E-2</v>
      </c>
      <c r="P292">
        <v>1</v>
      </c>
      <c r="Q292" s="9" t="s">
        <v>1824</v>
      </c>
      <c r="R292" s="9" t="s">
        <v>1838</v>
      </c>
      <c r="S292" s="9" t="s">
        <v>1839</v>
      </c>
      <c r="T292" s="9" t="s">
        <v>1838</v>
      </c>
      <c r="U292" s="9" t="s">
        <v>1840</v>
      </c>
      <c r="V292" s="9" t="s">
        <v>1838</v>
      </c>
      <c r="W292" s="9" t="s">
        <v>1838</v>
      </c>
      <c r="X292" s="9" t="s">
        <v>1838</v>
      </c>
      <c r="Y292" s="9" t="s">
        <v>1841</v>
      </c>
      <c r="Z292">
        <v>4842179.1619999995</v>
      </c>
      <c r="AA292">
        <v>12553041.036323847</v>
      </c>
      <c r="AB292" s="9" t="s">
        <v>1850</v>
      </c>
      <c r="AC292" s="9" t="s">
        <v>1838</v>
      </c>
    </row>
    <row r="293" spans="1:29">
      <c r="A293" s="9" t="s">
        <v>1138</v>
      </c>
      <c r="B293" s="9" t="s">
        <v>131</v>
      </c>
      <c r="C293" s="9" t="s">
        <v>132</v>
      </c>
      <c r="D293" s="9" t="s">
        <v>71</v>
      </c>
      <c r="E293">
        <v>2022</v>
      </c>
      <c r="F293">
        <v>10161125</v>
      </c>
      <c r="G293">
        <v>1.8800000000000001E-2</v>
      </c>
      <c r="H293">
        <v>191029.15</v>
      </c>
      <c r="I293" s="9" t="s">
        <v>1139</v>
      </c>
      <c r="J293" s="9" t="s">
        <v>1140</v>
      </c>
      <c r="K293" s="9" t="s">
        <v>1141</v>
      </c>
      <c r="L293">
        <v>9578975</v>
      </c>
      <c r="M293" s="8">
        <v>44590</v>
      </c>
      <c r="N293" s="9" t="s">
        <v>132</v>
      </c>
      <c r="O293">
        <v>1.8800000000000001E-2</v>
      </c>
      <c r="P293">
        <v>2</v>
      </c>
      <c r="Q293" s="9" t="s">
        <v>1822</v>
      </c>
      <c r="R293" s="9" t="s">
        <v>1838</v>
      </c>
      <c r="S293" s="9" t="s">
        <v>1839</v>
      </c>
      <c r="T293" s="9" t="s">
        <v>1838</v>
      </c>
      <c r="U293" s="9" t="s">
        <v>1844</v>
      </c>
      <c r="V293" s="9" t="s">
        <v>1838</v>
      </c>
      <c r="W293" s="9" t="s">
        <v>1838</v>
      </c>
      <c r="X293" s="9" t="s">
        <v>1838</v>
      </c>
      <c r="Y293" s="9" t="s">
        <v>1841</v>
      </c>
      <c r="Z293">
        <v>4842179.1619999995</v>
      </c>
      <c r="AA293">
        <v>12553041.036323847</v>
      </c>
      <c r="AB293" s="9" t="s">
        <v>1850</v>
      </c>
      <c r="AC293" s="9" t="s">
        <v>1843</v>
      </c>
    </row>
    <row r="294" spans="1:29">
      <c r="A294" s="9" t="s">
        <v>1138</v>
      </c>
      <c r="B294" s="9" t="s">
        <v>49</v>
      </c>
      <c r="C294" s="9" t="s">
        <v>50</v>
      </c>
      <c r="D294" s="9" t="s">
        <v>58</v>
      </c>
      <c r="E294">
        <v>2022</v>
      </c>
      <c r="F294">
        <v>3705140</v>
      </c>
      <c r="G294">
        <v>9.1000000000000004E-3</v>
      </c>
      <c r="H294">
        <v>33716.769999999997</v>
      </c>
      <c r="I294" s="9" t="s">
        <v>1603</v>
      </c>
      <c r="J294" s="9" t="s">
        <v>1604</v>
      </c>
      <c r="K294" s="9" t="s">
        <v>284</v>
      </c>
      <c r="L294">
        <v>3377866</v>
      </c>
      <c r="M294" s="8">
        <v>44749</v>
      </c>
      <c r="N294" s="9" t="s">
        <v>50</v>
      </c>
      <c r="O294">
        <v>9.1000000000000004E-3</v>
      </c>
      <c r="P294">
        <v>2</v>
      </c>
      <c r="Q294" s="9" t="s">
        <v>1823</v>
      </c>
      <c r="R294" s="9" t="s">
        <v>1838</v>
      </c>
      <c r="S294" s="9" t="s">
        <v>1839</v>
      </c>
      <c r="T294" s="9" t="s">
        <v>1838</v>
      </c>
      <c r="U294" s="9" t="s">
        <v>1844</v>
      </c>
      <c r="V294" s="9" t="s">
        <v>1838</v>
      </c>
      <c r="W294" s="9" t="s">
        <v>1838</v>
      </c>
      <c r="X294" s="9" t="s">
        <v>1838</v>
      </c>
      <c r="Y294" s="9" t="s">
        <v>1841</v>
      </c>
      <c r="Z294">
        <v>4842179.1619999995</v>
      </c>
      <c r="AA294">
        <v>12553041.036323847</v>
      </c>
      <c r="AB294" s="9" t="s">
        <v>1850</v>
      </c>
      <c r="AC294" s="9" t="s">
        <v>1843</v>
      </c>
    </row>
    <row r="295" spans="1:29">
      <c r="A295" s="9" t="s">
        <v>1142</v>
      </c>
      <c r="B295" s="9" t="s">
        <v>150</v>
      </c>
      <c r="C295" s="9" t="s">
        <v>151</v>
      </c>
      <c r="D295" s="9" t="s">
        <v>82</v>
      </c>
      <c r="E295">
        <v>2024</v>
      </c>
      <c r="F295">
        <v>7347021</v>
      </c>
      <c r="G295">
        <v>1.46E-2</v>
      </c>
      <c r="H295">
        <v>107266.51</v>
      </c>
      <c r="I295" s="9" t="s">
        <v>1143</v>
      </c>
      <c r="J295" s="9" t="s">
        <v>583</v>
      </c>
      <c r="K295" s="9" t="s">
        <v>855</v>
      </c>
      <c r="L295">
        <v>7963340</v>
      </c>
      <c r="M295" s="8">
        <v>45473</v>
      </c>
      <c r="N295" s="9" t="s">
        <v>151</v>
      </c>
      <c r="O295">
        <v>1.46E-2</v>
      </c>
      <c r="P295">
        <v>1</v>
      </c>
      <c r="Q295" s="9" t="s">
        <v>1824</v>
      </c>
      <c r="R295" s="9" t="s">
        <v>1838</v>
      </c>
      <c r="S295" s="9" t="s">
        <v>1839</v>
      </c>
      <c r="T295" s="9" t="s">
        <v>1838</v>
      </c>
      <c r="U295" s="9" t="s">
        <v>1840</v>
      </c>
      <c r="V295" s="9" t="s">
        <v>1842</v>
      </c>
      <c r="W295" s="9" t="s">
        <v>1838</v>
      </c>
      <c r="X295" s="9" t="s">
        <v>1838</v>
      </c>
      <c r="Y295" s="9" t="s">
        <v>1841</v>
      </c>
      <c r="Z295">
        <v>4842179.1619999995</v>
      </c>
      <c r="AA295">
        <v>12553041.036323847</v>
      </c>
      <c r="AB295" s="9" t="s">
        <v>1850</v>
      </c>
      <c r="AC295" s="9" t="s">
        <v>1843</v>
      </c>
    </row>
    <row r="296" spans="1:29">
      <c r="A296" s="9" t="s">
        <v>1144</v>
      </c>
      <c r="B296" s="9" t="s">
        <v>150</v>
      </c>
      <c r="C296" s="9" t="s">
        <v>151</v>
      </c>
      <c r="D296" s="9" t="s">
        <v>97</v>
      </c>
      <c r="E296">
        <v>2024</v>
      </c>
      <c r="F296">
        <v>2638970</v>
      </c>
      <c r="G296">
        <v>1.9300000000000001E-2</v>
      </c>
      <c r="H296">
        <v>53571.09</v>
      </c>
      <c r="I296" s="9" t="s">
        <v>1145</v>
      </c>
      <c r="J296" s="9" t="s">
        <v>1146</v>
      </c>
      <c r="K296" s="9" t="s">
        <v>1147</v>
      </c>
      <c r="L296">
        <v>3158384</v>
      </c>
      <c r="M296" s="8">
        <v>45457</v>
      </c>
      <c r="N296" s="9" t="s">
        <v>151</v>
      </c>
      <c r="O296">
        <v>2.0299999999999999E-2</v>
      </c>
      <c r="P296">
        <v>1</v>
      </c>
      <c r="Q296" s="9" t="s">
        <v>1821</v>
      </c>
      <c r="R296" s="9" t="s">
        <v>1838</v>
      </c>
      <c r="S296" s="9" t="s">
        <v>1839</v>
      </c>
      <c r="T296" s="9" t="s">
        <v>1838</v>
      </c>
      <c r="U296" s="9" t="s">
        <v>1840</v>
      </c>
      <c r="V296" s="9" t="s">
        <v>1838</v>
      </c>
      <c r="W296" s="9" t="s">
        <v>1838</v>
      </c>
      <c r="X296" s="9" t="s">
        <v>1838</v>
      </c>
      <c r="Y296" s="9" t="s">
        <v>1841</v>
      </c>
      <c r="Z296">
        <v>4842179.1619999995</v>
      </c>
      <c r="AA296">
        <v>12553041.036323847</v>
      </c>
      <c r="AB296" s="9" t="s">
        <v>1850</v>
      </c>
      <c r="AC296" s="9" t="s">
        <v>1838</v>
      </c>
    </row>
    <row r="297" spans="1:29">
      <c r="A297" s="9" t="s">
        <v>1148</v>
      </c>
      <c r="B297" s="9" t="s">
        <v>69</v>
      </c>
      <c r="C297" s="9" t="s">
        <v>70</v>
      </c>
      <c r="D297" s="9" t="s">
        <v>58</v>
      </c>
      <c r="E297">
        <v>2021</v>
      </c>
      <c r="F297">
        <v>1303602</v>
      </c>
      <c r="G297">
        <v>9.5999999999999992E-3</v>
      </c>
      <c r="H297">
        <v>12514.58</v>
      </c>
      <c r="I297" s="9" t="s">
        <v>1149</v>
      </c>
      <c r="J297" s="9" t="s">
        <v>1150</v>
      </c>
      <c r="K297" s="9" t="s">
        <v>154</v>
      </c>
      <c r="L297">
        <v>1486162</v>
      </c>
      <c r="M297" s="8">
        <v>44864</v>
      </c>
      <c r="N297" s="9" t="s">
        <v>70</v>
      </c>
      <c r="O297">
        <v>9.5999999999999992E-3</v>
      </c>
      <c r="P297">
        <v>1</v>
      </c>
      <c r="Q297" s="9" t="s">
        <v>1823</v>
      </c>
      <c r="R297" s="9" t="s">
        <v>1838</v>
      </c>
      <c r="S297" s="9" t="s">
        <v>1839</v>
      </c>
      <c r="T297" s="9" t="s">
        <v>1838</v>
      </c>
      <c r="U297" s="9" t="s">
        <v>1840</v>
      </c>
      <c r="V297" s="9" t="s">
        <v>1838</v>
      </c>
      <c r="W297" s="9" t="s">
        <v>1838</v>
      </c>
      <c r="X297" s="9" t="s">
        <v>1838</v>
      </c>
      <c r="Y297" s="9" t="s">
        <v>1841</v>
      </c>
      <c r="Z297">
        <v>4842179.1619999995</v>
      </c>
      <c r="AA297">
        <v>12553041.036323847</v>
      </c>
      <c r="AB297" s="9" t="s">
        <v>1850</v>
      </c>
      <c r="AC297" s="9" t="s">
        <v>1838</v>
      </c>
    </row>
    <row r="298" spans="1:29">
      <c r="A298" s="9" t="s">
        <v>1151</v>
      </c>
      <c r="B298" s="9" t="s">
        <v>69</v>
      </c>
      <c r="C298" s="9" t="s">
        <v>70</v>
      </c>
      <c r="D298" s="9" t="s">
        <v>82</v>
      </c>
      <c r="E298">
        <v>2021</v>
      </c>
      <c r="F298">
        <v>11667693</v>
      </c>
      <c r="G298">
        <v>1.49E-2</v>
      </c>
      <c r="H298">
        <v>173848.63</v>
      </c>
      <c r="I298" s="9" t="s">
        <v>1152</v>
      </c>
      <c r="J298" s="9" t="s">
        <v>937</v>
      </c>
      <c r="K298" s="9" t="s">
        <v>412</v>
      </c>
      <c r="L298">
        <v>12389509</v>
      </c>
      <c r="M298" s="8">
        <v>45161</v>
      </c>
      <c r="N298" s="9" t="s">
        <v>70</v>
      </c>
      <c r="O298">
        <v>1.49E-2</v>
      </c>
      <c r="P298">
        <v>1</v>
      </c>
      <c r="Q298" s="9" t="s">
        <v>1824</v>
      </c>
      <c r="R298" s="9" t="s">
        <v>1838</v>
      </c>
      <c r="S298" s="9" t="s">
        <v>1839</v>
      </c>
      <c r="T298" s="9" t="s">
        <v>1838</v>
      </c>
      <c r="U298" s="9" t="s">
        <v>1840</v>
      </c>
      <c r="V298" s="9" t="s">
        <v>1838</v>
      </c>
      <c r="W298" s="9" t="s">
        <v>1838</v>
      </c>
      <c r="X298" s="9" t="s">
        <v>1838</v>
      </c>
      <c r="Y298" s="9" t="s">
        <v>1841</v>
      </c>
      <c r="Z298">
        <v>4842179.1619999995</v>
      </c>
      <c r="AA298">
        <v>12553041.036323847</v>
      </c>
      <c r="AB298" s="9" t="s">
        <v>1850</v>
      </c>
      <c r="AC298" s="9" t="s">
        <v>1838</v>
      </c>
    </row>
    <row r="299" spans="1:29">
      <c r="A299" s="9" t="s">
        <v>1153</v>
      </c>
      <c r="B299" s="9" t="s">
        <v>63</v>
      </c>
      <c r="C299" s="9" t="s">
        <v>64</v>
      </c>
      <c r="D299" s="9" t="s">
        <v>82</v>
      </c>
      <c r="E299">
        <v>2023</v>
      </c>
      <c r="F299">
        <v>7808553</v>
      </c>
      <c r="G299">
        <v>1.4800000000000001E-2</v>
      </c>
      <c r="H299">
        <v>115646.58</v>
      </c>
      <c r="I299" s="9" t="s">
        <v>1154</v>
      </c>
      <c r="J299" s="9" t="s">
        <v>1155</v>
      </c>
      <c r="K299" s="9" t="s">
        <v>533</v>
      </c>
      <c r="L299">
        <v>8487863</v>
      </c>
      <c r="M299" s="8">
        <v>44170</v>
      </c>
      <c r="N299" s="9" t="s">
        <v>64</v>
      </c>
      <c r="O299">
        <v>1.4800000000000001E-2</v>
      </c>
      <c r="P299">
        <v>1</v>
      </c>
      <c r="Q299" s="9" t="s">
        <v>1824</v>
      </c>
      <c r="R299" s="9" t="s">
        <v>1838</v>
      </c>
      <c r="S299" s="9" t="s">
        <v>1839</v>
      </c>
      <c r="T299" s="9" t="s">
        <v>1845</v>
      </c>
      <c r="U299" s="9" t="s">
        <v>1840</v>
      </c>
      <c r="V299" s="9" t="s">
        <v>1838</v>
      </c>
      <c r="W299" s="9" t="s">
        <v>1838</v>
      </c>
      <c r="X299" s="9" t="s">
        <v>1838</v>
      </c>
      <c r="Y299" s="9" t="s">
        <v>1841</v>
      </c>
      <c r="Z299">
        <v>4842179.1619999995</v>
      </c>
      <c r="AA299">
        <v>12553041.036323847</v>
      </c>
      <c r="AB299" s="9" t="s">
        <v>1850</v>
      </c>
      <c r="AC299" s="9" t="s">
        <v>1843</v>
      </c>
    </row>
    <row r="300" spans="1:29">
      <c r="A300" s="9" t="s">
        <v>1156</v>
      </c>
      <c r="B300" s="9" t="s">
        <v>87</v>
      </c>
      <c r="C300" s="9" t="s">
        <v>88</v>
      </c>
      <c r="D300" s="9" t="s">
        <v>82</v>
      </c>
      <c r="E300">
        <v>2024</v>
      </c>
      <c r="F300">
        <v>4068352</v>
      </c>
      <c r="G300">
        <v>1.4800000000000001E-2</v>
      </c>
      <c r="H300">
        <v>60211.61</v>
      </c>
      <c r="I300" s="9" t="s">
        <v>1157</v>
      </c>
      <c r="J300" s="9" t="s">
        <v>1158</v>
      </c>
      <c r="K300" s="9" t="s">
        <v>272</v>
      </c>
      <c r="L300">
        <v>4409219</v>
      </c>
      <c r="M300" s="8">
        <v>44555</v>
      </c>
      <c r="N300" s="9" t="s">
        <v>88</v>
      </c>
      <c r="O300">
        <v>1.4800000000000001E-2</v>
      </c>
      <c r="P300">
        <v>1</v>
      </c>
      <c r="Q300" s="9" t="s">
        <v>1824</v>
      </c>
      <c r="R300" s="9" t="s">
        <v>1838</v>
      </c>
      <c r="S300" s="9" t="s">
        <v>1839</v>
      </c>
      <c r="T300" s="9" t="s">
        <v>1838</v>
      </c>
      <c r="U300" s="9" t="s">
        <v>1840</v>
      </c>
      <c r="V300" s="9" t="s">
        <v>1838</v>
      </c>
      <c r="W300" s="9" t="s">
        <v>1838</v>
      </c>
      <c r="X300" s="9" t="s">
        <v>1838</v>
      </c>
      <c r="Y300" s="9" t="s">
        <v>1841</v>
      </c>
      <c r="Z300">
        <v>4842179.1619999995</v>
      </c>
      <c r="AA300">
        <v>12553041.036323847</v>
      </c>
      <c r="AB300" s="9" t="s">
        <v>1850</v>
      </c>
      <c r="AC300" s="9" t="s">
        <v>1838</v>
      </c>
    </row>
    <row r="301" spans="1:29">
      <c r="A301" s="9" t="s">
        <v>1159</v>
      </c>
      <c r="B301" s="9" t="s">
        <v>678</v>
      </c>
      <c r="C301" s="9" t="s">
        <v>50</v>
      </c>
      <c r="D301" s="9" t="s">
        <v>71</v>
      </c>
      <c r="E301">
        <v>2021</v>
      </c>
      <c r="F301">
        <v>7278552</v>
      </c>
      <c r="G301">
        <v>1.8100000000000002E-2</v>
      </c>
      <c r="H301">
        <v>131741.79</v>
      </c>
      <c r="I301" s="9" t="s">
        <v>1160</v>
      </c>
      <c r="J301" s="9" t="s">
        <v>1161</v>
      </c>
      <c r="K301" s="9" t="s">
        <v>1162</v>
      </c>
      <c r="L301">
        <v>8510945</v>
      </c>
      <c r="M301" s="8">
        <v>43868</v>
      </c>
      <c r="N301" s="9"/>
      <c r="P301">
        <v>1</v>
      </c>
      <c r="Q301" s="9" t="s">
        <v>1822</v>
      </c>
      <c r="R301" s="9" t="s">
        <v>1842</v>
      </c>
      <c r="S301" s="9" t="s">
        <v>1845</v>
      </c>
      <c r="T301" s="9" t="s">
        <v>1845</v>
      </c>
      <c r="U301" s="9" t="s">
        <v>1840</v>
      </c>
      <c r="V301" s="9" t="s">
        <v>1838</v>
      </c>
      <c r="W301" s="9" t="s">
        <v>1838</v>
      </c>
      <c r="X301" s="9" t="s">
        <v>1838</v>
      </c>
      <c r="Y301" s="9" t="s">
        <v>1841</v>
      </c>
      <c r="Z301">
        <v>4842179.1619999995</v>
      </c>
      <c r="AA301">
        <v>12553041.036323847</v>
      </c>
      <c r="AB301" s="9" t="s">
        <v>1850</v>
      </c>
      <c r="AC301" s="9" t="s">
        <v>1843</v>
      </c>
    </row>
    <row r="302" spans="1:29">
      <c r="A302" s="9" t="s">
        <v>1163</v>
      </c>
      <c r="B302" s="9" t="s">
        <v>56</v>
      </c>
      <c r="C302" s="9" t="s">
        <v>57</v>
      </c>
      <c r="D302" s="9" t="s">
        <v>97</v>
      </c>
      <c r="E302">
        <v>2022</v>
      </c>
      <c r="F302">
        <v>3454789</v>
      </c>
      <c r="G302">
        <v>2.0400000000000001E-2</v>
      </c>
      <c r="H302">
        <v>70477.7</v>
      </c>
      <c r="I302" s="9" t="s">
        <v>1164</v>
      </c>
      <c r="J302" s="9" t="s">
        <v>1165</v>
      </c>
      <c r="K302" s="9" t="s">
        <v>580</v>
      </c>
      <c r="L302">
        <v>3807682</v>
      </c>
      <c r="M302" s="8">
        <v>44744</v>
      </c>
      <c r="N302" s="9" t="s">
        <v>57</v>
      </c>
      <c r="O302">
        <v>2.0400000000000001E-2</v>
      </c>
      <c r="P302">
        <v>1</v>
      </c>
      <c r="Q302" s="9" t="s">
        <v>1821</v>
      </c>
      <c r="R302" s="9" t="s">
        <v>1838</v>
      </c>
      <c r="S302" s="9" t="s">
        <v>1839</v>
      </c>
      <c r="T302" s="9" t="s">
        <v>1838</v>
      </c>
      <c r="U302" s="9" t="s">
        <v>1840</v>
      </c>
      <c r="V302" s="9" t="s">
        <v>1838</v>
      </c>
      <c r="W302" s="9" t="s">
        <v>1838</v>
      </c>
      <c r="X302" s="9" t="s">
        <v>1838</v>
      </c>
      <c r="Y302" s="9" t="s">
        <v>1841</v>
      </c>
      <c r="Z302">
        <v>4842179.1619999995</v>
      </c>
      <c r="AA302">
        <v>12553041.036323847</v>
      </c>
      <c r="AB302" s="9" t="s">
        <v>1850</v>
      </c>
      <c r="AC302" s="9" t="s">
        <v>1838</v>
      </c>
    </row>
    <row r="303" spans="1:29">
      <c r="A303" s="9" t="s">
        <v>1166</v>
      </c>
      <c r="B303" s="9" t="s">
        <v>76</v>
      </c>
      <c r="C303" s="9" t="s">
        <v>77</v>
      </c>
      <c r="D303" s="9" t="s">
        <v>71</v>
      </c>
      <c r="E303">
        <v>2022</v>
      </c>
      <c r="F303">
        <v>2988944</v>
      </c>
      <c r="G303">
        <v>1.84E-2</v>
      </c>
      <c r="H303">
        <v>54996.57</v>
      </c>
      <c r="I303" s="9" t="s">
        <v>1167</v>
      </c>
      <c r="J303" s="9" t="s">
        <v>1168</v>
      </c>
      <c r="K303" s="9" t="s">
        <v>221</v>
      </c>
      <c r="L303">
        <v>2797148</v>
      </c>
      <c r="M303" s="8">
        <v>45688</v>
      </c>
      <c r="N303" s="9" t="s">
        <v>77</v>
      </c>
      <c r="O303">
        <v>1.84E-2</v>
      </c>
      <c r="P303">
        <v>1</v>
      </c>
      <c r="Q303" s="9" t="s">
        <v>1822</v>
      </c>
      <c r="R303" s="9" t="s">
        <v>1838</v>
      </c>
      <c r="S303" s="9" t="s">
        <v>1839</v>
      </c>
      <c r="T303" s="9" t="s">
        <v>1838</v>
      </c>
      <c r="U303" s="9" t="s">
        <v>1840</v>
      </c>
      <c r="V303" s="9" t="s">
        <v>1842</v>
      </c>
      <c r="W303" s="9" t="s">
        <v>1838</v>
      </c>
      <c r="X303" s="9" t="s">
        <v>1838</v>
      </c>
      <c r="Y303" s="9" t="s">
        <v>1841</v>
      </c>
      <c r="Z303">
        <v>4842179.1619999995</v>
      </c>
      <c r="AA303">
        <v>12553041.036323847</v>
      </c>
      <c r="AB303" s="9" t="s">
        <v>1850</v>
      </c>
      <c r="AC303" s="9" t="s">
        <v>1843</v>
      </c>
    </row>
    <row r="304" spans="1:29">
      <c r="A304" s="9" t="s">
        <v>1169</v>
      </c>
      <c r="B304" s="9" t="s">
        <v>150</v>
      </c>
      <c r="C304" s="9" t="s">
        <v>151</v>
      </c>
      <c r="D304" s="9" t="s">
        <v>82</v>
      </c>
      <c r="E304">
        <v>2023</v>
      </c>
      <c r="F304">
        <v>4807994</v>
      </c>
      <c r="G304">
        <v>1.46E-2</v>
      </c>
      <c r="H304">
        <v>70196.710000000006</v>
      </c>
      <c r="I304" s="9" t="s">
        <v>1170</v>
      </c>
      <c r="J304" s="9" t="s">
        <v>1171</v>
      </c>
      <c r="K304" s="9" t="s">
        <v>1172</v>
      </c>
      <c r="L304">
        <v>4972715</v>
      </c>
      <c r="M304" s="8">
        <v>44007</v>
      </c>
      <c r="N304" s="9" t="s">
        <v>151</v>
      </c>
      <c r="O304">
        <v>1.46E-2</v>
      </c>
      <c r="P304">
        <v>1</v>
      </c>
      <c r="Q304" s="9" t="s">
        <v>1824</v>
      </c>
      <c r="R304" s="9" t="s">
        <v>1838</v>
      </c>
      <c r="S304" s="9" t="s">
        <v>1839</v>
      </c>
      <c r="T304" s="9" t="s">
        <v>1838</v>
      </c>
      <c r="U304" s="9" t="s">
        <v>1840</v>
      </c>
      <c r="V304" s="9" t="s">
        <v>1838</v>
      </c>
      <c r="W304" s="9" t="s">
        <v>1838</v>
      </c>
      <c r="X304" s="9" t="s">
        <v>1838</v>
      </c>
      <c r="Y304" s="9" t="s">
        <v>1841</v>
      </c>
      <c r="Z304">
        <v>4842179.1619999995</v>
      </c>
      <c r="AA304">
        <v>12553041.036323847</v>
      </c>
      <c r="AB304" s="9" t="s">
        <v>1850</v>
      </c>
      <c r="AC304" s="9" t="s">
        <v>1838</v>
      </c>
    </row>
    <row r="305" spans="1:29">
      <c r="A305" s="9" t="s">
        <v>1173</v>
      </c>
      <c r="B305" s="9" t="s">
        <v>69</v>
      </c>
      <c r="C305" s="9" t="s">
        <v>70</v>
      </c>
      <c r="D305" s="9" t="s">
        <v>58</v>
      </c>
      <c r="E305">
        <v>2022</v>
      </c>
      <c r="F305">
        <v>2371840</v>
      </c>
      <c r="G305">
        <v>9.5999999999999992E-3</v>
      </c>
      <c r="H305">
        <v>22769.66</v>
      </c>
      <c r="I305" s="9" t="s">
        <v>1174</v>
      </c>
      <c r="J305" s="9" t="s">
        <v>1175</v>
      </c>
      <c r="K305" s="9" t="s">
        <v>428</v>
      </c>
      <c r="M305" s="8">
        <v>45372</v>
      </c>
      <c r="N305" s="9" t="s">
        <v>70</v>
      </c>
      <c r="O305">
        <v>9.5999999999999992E-3</v>
      </c>
      <c r="P305">
        <v>1</v>
      </c>
      <c r="Q305" s="9" t="s">
        <v>1823</v>
      </c>
      <c r="R305" s="9" t="s">
        <v>1838</v>
      </c>
      <c r="S305" s="9" t="s">
        <v>1839</v>
      </c>
      <c r="T305" s="9" t="s">
        <v>1838</v>
      </c>
      <c r="U305" s="9" t="s">
        <v>1840</v>
      </c>
      <c r="V305" s="9" t="s">
        <v>1838</v>
      </c>
      <c r="W305" s="9" t="s">
        <v>1838</v>
      </c>
      <c r="X305" s="9" t="s">
        <v>1838</v>
      </c>
      <c r="Y305" s="9" t="s">
        <v>1841</v>
      </c>
      <c r="Z305">
        <v>4842179.1619999995</v>
      </c>
      <c r="AA305">
        <v>12553041.036323847</v>
      </c>
      <c r="AB305" s="9" t="s">
        <v>1850</v>
      </c>
      <c r="AC305" s="9" t="s">
        <v>1838</v>
      </c>
    </row>
    <row r="306" spans="1:29">
      <c r="A306" s="9" t="s">
        <v>1176</v>
      </c>
      <c r="B306" s="9" t="s">
        <v>101</v>
      </c>
      <c r="C306" s="9" t="s">
        <v>102</v>
      </c>
      <c r="D306" s="9" t="s">
        <v>97</v>
      </c>
      <c r="E306">
        <v>2022</v>
      </c>
      <c r="F306">
        <v>1461498</v>
      </c>
      <c r="G306">
        <v>2.0899999999999998E-2</v>
      </c>
      <c r="H306">
        <v>30545.31</v>
      </c>
      <c r="I306" s="9" t="s">
        <v>1177</v>
      </c>
      <c r="J306" s="9" t="s">
        <v>1178</v>
      </c>
      <c r="K306" s="9" t="s">
        <v>256</v>
      </c>
      <c r="L306">
        <v>1747978</v>
      </c>
      <c r="M306" s="8">
        <v>44622</v>
      </c>
      <c r="N306" s="9" t="s">
        <v>102</v>
      </c>
      <c r="O306">
        <v>2.0899999999999998E-2</v>
      </c>
      <c r="P306">
        <v>1</v>
      </c>
      <c r="Q306" s="9" t="s">
        <v>1821</v>
      </c>
      <c r="R306" s="9" t="s">
        <v>1838</v>
      </c>
      <c r="S306" s="9" t="s">
        <v>1839</v>
      </c>
      <c r="T306" s="9" t="s">
        <v>1838</v>
      </c>
      <c r="U306" s="9" t="s">
        <v>1840</v>
      </c>
      <c r="V306" s="9" t="s">
        <v>1838</v>
      </c>
      <c r="W306" s="9" t="s">
        <v>1838</v>
      </c>
      <c r="X306" s="9" t="s">
        <v>1838</v>
      </c>
      <c r="Y306" s="9" t="s">
        <v>1841</v>
      </c>
      <c r="Z306">
        <v>4842179.1619999995</v>
      </c>
      <c r="AA306">
        <v>12553041.036323847</v>
      </c>
      <c r="AB306" s="9" t="s">
        <v>1850</v>
      </c>
      <c r="AC306" s="9" t="s">
        <v>1838</v>
      </c>
    </row>
    <row r="307" spans="1:29">
      <c r="A307" s="9" t="s">
        <v>1179</v>
      </c>
      <c r="B307" s="9" t="s">
        <v>150</v>
      </c>
      <c r="C307" s="9" t="s">
        <v>151</v>
      </c>
      <c r="D307" s="9" t="s">
        <v>82</v>
      </c>
      <c r="E307">
        <v>2022</v>
      </c>
      <c r="F307">
        <v>7161545</v>
      </c>
      <c r="G307">
        <v>1.46E-2</v>
      </c>
      <c r="H307">
        <v>104558.56</v>
      </c>
      <c r="I307" s="9" t="s">
        <v>1180</v>
      </c>
      <c r="J307" s="9" t="s">
        <v>1168</v>
      </c>
      <c r="K307" s="9" t="s">
        <v>1181</v>
      </c>
      <c r="L307">
        <v>6843981</v>
      </c>
      <c r="M307" s="8">
        <v>45441</v>
      </c>
      <c r="N307" s="9" t="s">
        <v>151</v>
      </c>
      <c r="O307">
        <v>1.46E-2</v>
      </c>
      <c r="P307">
        <v>1</v>
      </c>
      <c r="Q307" s="9" t="s">
        <v>1824</v>
      </c>
      <c r="R307" s="9" t="s">
        <v>1838</v>
      </c>
      <c r="S307" s="9" t="s">
        <v>1839</v>
      </c>
      <c r="T307" s="9" t="s">
        <v>1838</v>
      </c>
      <c r="U307" s="9" t="s">
        <v>1840</v>
      </c>
      <c r="V307" s="9" t="s">
        <v>1842</v>
      </c>
      <c r="W307" s="9" t="s">
        <v>1838</v>
      </c>
      <c r="X307" s="9" t="s">
        <v>1838</v>
      </c>
      <c r="Y307" s="9" t="s">
        <v>1841</v>
      </c>
      <c r="Z307">
        <v>4842179.1619999995</v>
      </c>
      <c r="AA307">
        <v>12553041.036323847</v>
      </c>
      <c r="AB307" s="9" t="s">
        <v>1850</v>
      </c>
      <c r="AC307" s="9" t="s">
        <v>1843</v>
      </c>
    </row>
    <row r="308" spans="1:29">
      <c r="A308" s="9" t="s">
        <v>1182</v>
      </c>
      <c r="B308" s="9" t="s">
        <v>69</v>
      </c>
      <c r="C308" s="9" t="s">
        <v>70</v>
      </c>
      <c r="D308" s="9" t="s">
        <v>51</v>
      </c>
      <c r="E308">
        <v>2023</v>
      </c>
      <c r="F308">
        <v>572675</v>
      </c>
      <c r="G308">
        <v>1.26E-2</v>
      </c>
      <c r="H308">
        <v>7215.7</v>
      </c>
      <c r="I308" s="9" t="s">
        <v>1183</v>
      </c>
      <c r="J308" s="9" t="s">
        <v>1184</v>
      </c>
      <c r="K308" s="9" t="s">
        <v>229</v>
      </c>
      <c r="L308">
        <v>634883</v>
      </c>
      <c r="M308" s="8">
        <v>44497</v>
      </c>
      <c r="N308" s="9" t="s">
        <v>70</v>
      </c>
      <c r="O308">
        <v>1.26E-2</v>
      </c>
      <c r="P308">
        <v>1</v>
      </c>
      <c r="Q308" s="9" t="s">
        <v>1820</v>
      </c>
      <c r="R308" s="9" t="s">
        <v>1838</v>
      </c>
      <c r="S308" s="9" t="s">
        <v>1839</v>
      </c>
      <c r="T308" s="9" t="s">
        <v>1838</v>
      </c>
      <c r="U308" s="9" t="s">
        <v>1840</v>
      </c>
      <c r="V308" s="9" t="s">
        <v>1838</v>
      </c>
      <c r="W308" s="9" t="s">
        <v>1838</v>
      </c>
      <c r="X308" s="9" t="s">
        <v>1838</v>
      </c>
      <c r="Y308" s="9" t="s">
        <v>1841</v>
      </c>
      <c r="Z308">
        <v>4842179.1619999995</v>
      </c>
      <c r="AA308">
        <v>12553041.036323847</v>
      </c>
      <c r="AB308" s="9" t="s">
        <v>1850</v>
      </c>
      <c r="AC308" s="9" t="s">
        <v>1838</v>
      </c>
    </row>
    <row r="309" spans="1:29">
      <c r="A309" s="9" t="s">
        <v>1185</v>
      </c>
      <c r="B309" s="9" t="s">
        <v>56</v>
      </c>
      <c r="C309" s="9" t="s">
        <v>57</v>
      </c>
      <c r="D309" s="9" t="s">
        <v>51</v>
      </c>
      <c r="E309">
        <v>2024</v>
      </c>
      <c r="F309">
        <v>546795</v>
      </c>
      <c r="G309">
        <v>1.24E-2</v>
      </c>
      <c r="H309">
        <v>6780.26</v>
      </c>
      <c r="I309" s="9" t="s">
        <v>1186</v>
      </c>
      <c r="J309" s="9" t="s">
        <v>1187</v>
      </c>
      <c r="K309" s="9" t="s">
        <v>688</v>
      </c>
      <c r="L309">
        <v>664979</v>
      </c>
      <c r="M309" s="8">
        <v>45499</v>
      </c>
      <c r="N309" s="9" t="s">
        <v>57</v>
      </c>
      <c r="O309">
        <v>1.24E-2</v>
      </c>
      <c r="P309">
        <v>1</v>
      </c>
      <c r="Q309" s="9" t="s">
        <v>1820</v>
      </c>
      <c r="R309" s="9" t="s">
        <v>1838</v>
      </c>
      <c r="S309" s="9" t="s">
        <v>1839</v>
      </c>
      <c r="T309" s="9" t="s">
        <v>1838</v>
      </c>
      <c r="U309" s="9" t="s">
        <v>1840</v>
      </c>
      <c r="V309" s="9" t="s">
        <v>1838</v>
      </c>
      <c r="W309" s="9" t="s">
        <v>1838</v>
      </c>
      <c r="X309" s="9" t="s">
        <v>1838</v>
      </c>
      <c r="Y309" s="9" t="s">
        <v>1841</v>
      </c>
      <c r="Z309">
        <v>4842179.1619999995</v>
      </c>
      <c r="AA309">
        <v>12553041.036323847</v>
      </c>
      <c r="AB309" s="9" t="s">
        <v>1850</v>
      </c>
      <c r="AC309" s="9" t="s">
        <v>1838</v>
      </c>
    </row>
    <row r="310" spans="1:29">
      <c r="A310" s="9" t="s">
        <v>1188</v>
      </c>
      <c r="B310" s="9" t="s">
        <v>63</v>
      </c>
      <c r="C310" s="9" t="s">
        <v>102</v>
      </c>
      <c r="D310" s="9" t="s">
        <v>97</v>
      </c>
      <c r="E310">
        <v>2022</v>
      </c>
      <c r="F310">
        <v>2413074</v>
      </c>
      <c r="G310">
        <v>2.0500000000000001E-2</v>
      </c>
      <c r="H310">
        <v>49468.02</v>
      </c>
      <c r="I310" s="9" t="s">
        <v>1189</v>
      </c>
      <c r="J310" s="9" t="s">
        <v>1190</v>
      </c>
      <c r="K310" s="9" t="s">
        <v>1191</v>
      </c>
      <c r="L310">
        <v>2887660</v>
      </c>
      <c r="M310" s="8">
        <v>44670</v>
      </c>
      <c r="N310" s="9" t="s">
        <v>64</v>
      </c>
      <c r="O310">
        <v>2.0500000000000001E-2</v>
      </c>
      <c r="P310">
        <v>1</v>
      </c>
      <c r="Q310" s="9" t="s">
        <v>1821</v>
      </c>
      <c r="R310" s="9" t="s">
        <v>1838</v>
      </c>
      <c r="S310" s="9" t="s">
        <v>1845</v>
      </c>
      <c r="T310" s="9" t="s">
        <v>1838</v>
      </c>
      <c r="U310" s="9" t="s">
        <v>1840</v>
      </c>
      <c r="V310" s="9" t="s">
        <v>1838</v>
      </c>
      <c r="W310" s="9" t="s">
        <v>1838</v>
      </c>
      <c r="X310" s="9" t="s">
        <v>1838</v>
      </c>
      <c r="Y310" s="9" t="s">
        <v>1841</v>
      </c>
      <c r="Z310">
        <v>4842179.1619999995</v>
      </c>
      <c r="AA310">
        <v>12553041.036323847</v>
      </c>
      <c r="AB310" s="9" t="s">
        <v>1850</v>
      </c>
      <c r="AC310" s="9" t="s">
        <v>1843</v>
      </c>
    </row>
    <row r="311" spans="1:29">
      <c r="A311" s="9" t="s">
        <v>1192</v>
      </c>
      <c r="B311" s="9" t="s">
        <v>63</v>
      </c>
      <c r="C311" s="9" t="s">
        <v>64</v>
      </c>
      <c r="D311" s="9" t="s">
        <v>71</v>
      </c>
      <c r="E311">
        <v>2021</v>
      </c>
      <c r="F311">
        <v>758101</v>
      </c>
      <c r="G311">
        <v>1.6500000000000001E-2</v>
      </c>
      <c r="H311">
        <v>14024.87</v>
      </c>
      <c r="I311" s="9" t="s">
        <v>1193</v>
      </c>
      <c r="J311" s="9" t="s">
        <v>1194</v>
      </c>
      <c r="K311" s="9" t="s">
        <v>1195</v>
      </c>
      <c r="L311">
        <v>797762</v>
      </c>
      <c r="M311" s="8">
        <v>44331</v>
      </c>
      <c r="N311" s="9" t="s">
        <v>64</v>
      </c>
      <c r="O311">
        <v>1.8499999999999999E-2</v>
      </c>
      <c r="P311">
        <v>1</v>
      </c>
      <c r="Q311" s="9" t="s">
        <v>1822</v>
      </c>
      <c r="R311" s="9" t="s">
        <v>1838</v>
      </c>
      <c r="S311" s="9" t="s">
        <v>1839</v>
      </c>
      <c r="T311" s="9" t="s">
        <v>1838</v>
      </c>
      <c r="U311" s="9" t="s">
        <v>1840</v>
      </c>
      <c r="V311" s="9" t="s">
        <v>1838</v>
      </c>
      <c r="W311" s="9" t="s">
        <v>1838</v>
      </c>
      <c r="X311" s="9" t="s">
        <v>1838</v>
      </c>
      <c r="Y311" s="9" t="s">
        <v>1841</v>
      </c>
      <c r="Z311">
        <v>4842179.1619999995</v>
      </c>
      <c r="AA311">
        <v>12553041.036323847</v>
      </c>
      <c r="AB311" s="9" t="s">
        <v>1850</v>
      </c>
      <c r="AC311" s="9" t="s">
        <v>1838</v>
      </c>
    </row>
    <row r="312" spans="1:29">
      <c r="A312" s="9" t="s">
        <v>1196</v>
      </c>
      <c r="B312" s="9" t="s">
        <v>131</v>
      </c>
      <c r="C312" s="9" t="s">
        <v>132</v>
      </c>
      <c r="D312" s="9" t="s">
        <v>58</v>
      </c>
      <c r="E312">
        <v>2022</v>
      </c>
      <c r="F312">
        <v>971636</v>
      </c>
      <c r="G312">
        <v>7.7999999999999996E-3</v>
      </c>
      <c r="H312">
        <v>9522.0300000000007</v>
      </c>
      <c r="I312" s="9" t="s">
        <v>1197</v>
      </c>
      <c r="J312" s="9" t="s">
        <v>1198</v>
      </c>
      <c r="K312" s="9" t="s">
        <v>268</v>
      </c>
      <c r="L312">
        <v>921137</v>
      </c>
      <c r="M312" s="8">
        <v>45169</v>
      </c>
      <c r="N312" s="9" t="s">
        <v>132</v>
      </c>
      <c r="O312">
        <v>9.7999999999999997E-3</v>
      </c>
      <c r="P312">
        <v>1</v>
      </c>
      <c r="Q312" s="9" t="s">
        <v>1823</v>
      </c>
      <c r="R312" s="9" t="s">
        <v>1838</v>
      </c>
      <c r="S312" s="9" t="s">
        <v>1839</v>
      </c>
      <c r="T312" s="9" t="s">
        <v>1838</v>
      </c>
      <c r="U312" s="9" t="s">
        <v>1840</v>
      </c>
      <c r="V312" s="9" t="s">
        <v>1838</v>
      </c>
      <c r="W312" s="9" t="s">
        <v>1838</v>
      </c>
      <c r="X312" s="9" t="s">
        <v>1838</v>
      </c>
      <c r="Y312" s="9" t="s">
        <v>1841</v>
      </c>
      <c r="Z312">
        <v>4842179.1619999995</v>
      </c>
      <c r="AA312">
        <v>12553041.036323847</v>
      </c>
      <c r="AB312" s="9" t="s">
        <v>1850</v>
      </c>
      <c r="AC312" s="9" t="s">
        <v>1838</v>
      </c>
    </row>
    <row r="313" spans="1:29">
      <c r="A313" s="9" t="s">
        <v>1199</v>
      </c>
      <c r="B313" s="9" t="s">
        <v>101</v>
      </c>
      <c r="C313" s="9" t="s">
        <v>102</v>
      </c>
      <c r="D313" s="9" t="s">
        <v>82</v>
      </c>
      <c r="E313">
        <v>2024</v>
      </c>
      <c r="F313">
        <v>8516032</v>
      </c>
      <c r="G313">
        <v>1.52E-2</v>
      </c>
      <c r="H313">
        <v>129443.69</v>
      </c>
      <c r="I313" s="9" t="s">
        <v>1200</v>
      </c>
      <c r="J313" s="9" t="s">
        <v>1201</v>
      </c>
      <c r="K313" s="9" t="s">
        <v>260</v>
      </c>
      <c r="L313">
        <v>9842997</v>
      </c>
      <c r="M313" s="8">
        <v>45655</v>
      </c>
      <c r="N313" s="9" t="s">
        <v>102</v>
      </c>
      <c r="O313">
        <v>1.52E-2</v>
      </c>
      <c r="P313">
        <v>1</v>
      </c>
      <c r="Q313" s="9" t="s">
        <v>1824</v>
      </c>
      <c r="R313" s="9" t="s">
        <v>1838</v>
      </c>
      <c r="S313" s="9" t="s">
        <v>1839</v>
      </c>
      <c r="T313" s="9" t="s">
        <v>1838</v>
      </c>
      <c r="U313" s="9" t="s">
        <v>1840</v>
      </c>
      <c r="V313" s="9" t="s">
        <v>1838</v>
      </c>
      <c r="W313" s="9" t="s">
        <v>1838</v>
      </c>
      <c r="X313" s="9" t="s">
        <v>1838</v>
      </c>
      <c r="Y313" s="9" t="s">
        <v>1841</v>
      </c>
      <c r="Z313">
        <v>4842179.1619999995</v>
      </c>
      <c r="AA313">
        <v>12553041.036323847</v>
      </c>
      <c r="AB313" s="9" t="s">
        <v>1850</v>
      </c>
      <c r="AC313" s="9" t="s">
        <v>1838</v>
      </c>
    </row>
    <row r="314" spans="1:29">
      <c r="A314" s="9" t="s">
        <v>1202</v>
      </c>
      <c r="B314" s="9" t="s">
        <v>56</v>
      </c>
      <c r="C314" s="9" t="s">
        <v>57</v>
      </c>
      <c r="D314" s="9" t="s">
        <v>71</v>
      </c>
      <c r="E314">
        <v>2024</v>
      </c>
      <c r="F314">
        <v>9285768</v>
      </c>
      <c r="G314">
        <v>1.84E-2</v>
      </c>
      <c r="H314">
        <v>170858.13</v>
      </c>
      <c r="I314" s="9" t="s">
        <v>1203</v>
      </c>
      <c r="J314" s="9" t="s">
        <v>1204</v>
      </c>
      <c r="K314" s="9" t="s">
        <v>866</v>
      </c>
      <c r="L314">
        <v>9868243</v>
      </c>
      <c r="M314" s="8">
        <v>44357</v>
      </c>
      <c r="N314" s="9" t="s">
        <v>57</v>
      </c>
      <c r="O314">
        <v>1.84E-2</v>
      </c>
      <c r="P314">
        <v>1</v>
      </c>
      <c r="Q314" s="9" t="s">
        <v>1822</v>
      </c>
      <c r="R314" s="9" t="s">
        <v>1838</v>
      </c>
      <c r="S314" s="9" t="s">
        <v>1839</v>
      </c>
      <c r="T314" s="9" t="s">
        <v>1838</v>
      </c>
      <c r="U314" s="9" t="s">
        <v>1840</v>
      </c>
      <c r="V314" s="9" t="s">
        <v>1838</v>
      </c>
      <c r="W314" s="9" t="s">
        <v>1838</v>
      </c>
      <c r="X314" s="9" t="s">
        <v>1838</v>
      </c>
      <c r="Y314" s="9" t="s">
        <v>1841</v>
      </c>
      <c r="Z314">
        <v>4842179.1619999995</v>
      </c>
      <c r="AA314">
        <v>12553041.036323847</v>
      </c>
      <c r="AB314" s="9" t="s">
        <v>1850</v>
      </c>
      <c r="AC314" s="9" t="s">
        <v>1838</v>
      </c>
    </row>
    <row r="315" spans="1:29">
      <c r="A315" s="9" t="s">
        <v>1205</v>
      </c>
      <c r="B315" s="9" t="s">
        <v>56</v>
      </c>
      <c r="C315" s="9" t="s">
        <v>57</v>
      </c>
      <c r="D315" s="9" t="s">
        <v>82</v>
      </c>
      <c r="E315">
        <v>2021</v>
      </c>
      <c r="F315">
        <v>4576384</v>
      </c>
      <c r="G315">
        <v>1.47E-2</v>
      </c>
      <c r="H315">
        <v>67022.84</v>
      </c>
      <c r="I315" s="9" t="s">
        <v>1206</v>
      </c>
      <c r="J315" s="9" t="s">
        <v>1207</v>
      </c>
      <c r="K315" s="9" t="s">
        <v>1208</v>
      </c>
      <c r="L315">
        <v>4870331</v>
      </c>
      <c r="M315" s="8">
        <v>44823</v>
      </c>
      <c r="N315" s="9" t="s">
        <v>57</v>
      </c>
      <c r="O315">
        <v>1.47E-2</v>
      </c>
      <c r="P315">
        <v>1</v>
      </c>
      <c r="Q315" s="9" t="s">
        <v>1824</v>
      </c>
      <c r="R315" s="9" t="s">
        <v>1838</v>
      </c>
      <c r="S315" s="9" t="s">
        <v>1839</v>
      </c>
      <c r="T315" s="9" t="s">
        <v>1845</v>
      </c>
      <c r="U315" s="9" t="s">
        <v>1840</v>
      </c>
      <c r="V315" s="9" t="s">
        <v>1838</v>
      </c>
      <c r="W315" s="9" t="s">
        <v>1838</v>
      </c>
      <c r="X315" s="9" t="s">
        <v>1838</v>
      </c>
      <c r="Y315" s="9" t="s">
        <v>1841</v>
      </c>
      <c r="Z315">
        <v>4842179.1619999995</v>
      </c>
      <c r="AA315">
        <v>12553041.036323847</v>
      </c>
      <c r="AB315" s="9" t="s">
        <v>1850</v>
      </c>
      <c r="AC315" s="9" t="s">
        <v>1843</v>
      </c>
    </row>
    <row r="316" spans="1:29">
      <c r="A316" s="9" t="s">
        <v>1209</v>
      </c>
      <c r="B316" s="9" t="s">
        <v>69</v>
      </c>
      <c r="C316" s="9" t="s">
        <v>70</v>
      </c>
      <c r="D316" s="9" t="s">
        <v>71</v>
      </c>
      <c r="E316">
        <v>2023</v>
      </c>
      <c r="F316">
        <v>3555676</v>
      </c>
      <c r="G316">
        <v>1.8599999999999998E-2</v>
      </c>
      <c r="H316">
        <v>66135.570000000007</v>
      </c>
      <c r="I316" s="9" t="s">
        <v>1210</v>
      </c>
      <c r="J316" s="9" t="s">
        <v>1211</v>
      </c>
      <c r="K316" s="9" t="s">
        <v>1078</v>
      </c>
      <c r="L316">
        <v>4117768</v>
      </c>
      <c r="M316" s="8">
        <v>43886</v>
      </c>
      <c r="N316" s="9" t="s">
        <v>70</v>
      </c>
      <c r="O316">
        <v>1.8599999999999998E-2</v>
      </c>
      <c r="P316">
        <v>1</v>
      </c>
      <c r="Q316" s="9" t="s">
        <v>1822</v>
      </c>
      <c r="R316" s="9" t="s">
        <v>1838</v>
      </c>
      <c r="S316" s="9" t="s">
        <v>1839</v>
      </c>
      <c r="T316" s="9" t="s">
        <v>1838</v>
      </c>
      <c r="U316" s="9" t="s">
        <v>1840</v>
      </c>
      <c r="V316" s="9" t="s">
        <v>1838</v>
      </c>
      <c r="W316" s="9" t="s">
        <v>1838</v>
      </c>
      <c r="X316" s="9" t="s">
        <v>1838</v>
      </c>
      <c r="Y316" s="9" t="s">
        <v>1841</v>
      </c>
      <c r="Z316">
        <v>4842179.1619999995</v>
      </c>
      <c r="AA316">
        <v>12553041.036323847</v>
      </c>
      <c r="AB316" s="9" t="s">
        <v>1850</v>
      </c>
      <c r="AC316" s="9" t="s">
        <v>1838</v>
      </c>
    </row>
    <row r="317" spans="1:29">
      <c r="A317" s="9" t="s">
        <v>1212</v>
      </c>
      <c r="B317" s="9" t="s">
        <v>137</v>
      </c>
      <c r="C317" s="9" t="s">
        <v>138</v>
      </c>
      <c r="D317" s="9" t="s">
        <v>58</v>
      </c>
      <c r="E317">
        <v>2021</v>
      </c>
      <c r="F317">
        <v>829506</v>
      </c>
      <c r="G317">
        <v>9.7000000000000003E-3</v>
      </c>
      <c r="H317">
        <v>8046.21</v>
      </c>
      <c r="I317" s="9" t="s">
        <v>1213</v>
      </c>
      <c r="J317" s="9" t="s">
        <v>1214</v>
      </c>
      <c r="K317" s="9" t="s">
        <v>280</v>
      </c>
      <c r="L317">
        <v>981093</v>
      </c>
      <c r="M317" s="8">
        <v>44536</v>
      </c>
      <c r="N317" s="9" t="s">
        <v>138</v>
      </c>
      <c r="O317">
        <v>9.7000000000000003E-3</v>
      </c>
      <c r="P317">
        <v>1</v>
      </c>
      <c r="Q317" s="9" t="s">
        <v>1823</v>
      </c>
      <c r="R317" s="9" t="s">
        <v>1838</v>
      </c>
      <c r="S317" s="9" t="s">
        <v>1839</v>
      </c>
      <c r="T317" s="9" t="s">
        <v>1838</v>
      </c>
      <c r="U317" s="9" t="s">
        <v>1840</v>
      </c>
      <c r="V317" s="9" t="s">
        <v>1838</v>
      </c>
      <c r="W317" s="9" t="s">
        <v>1838</v>
      </c>
      <c r="X317" s="9" t="s">
        <v>1838</v>
      </c>
      <c r="Y317" s="9" t="s">
        <v>1841</v>
      </c>
      <c r="Z317">
        <v>4842179.1619999995</v>
      </c>
      <c r="AA317">
        <v>12553041.036323847</v>
      </c>
      <c r="AB317" s="9" t="s">
        <v>1850</v>
      </c>
      <c r="AC317" s="9" t="s">
        <v>1838</v>
      </c>
    </row>
    <row r="318" spans="1:29">
      <c r="A318" s="9" t="s">
        <v>1215</v>
      </c>
      <c r="B318" s="9" t="s">
        <v>76</v>
      </c>
      <c r="C318" s="9" t="s">
        <v>77</v>
      </c>
      <c r="D318" s="9" t="s">
        <v>58</v>
      </c>
      <c r="E318">
        <v>2022</v>
      </c>
      <c r="F318">
        <v>2745910</v>
      </c>
      <c r="G318">
        <v>9.4000000000000004E-3</v>
      </c>
      <c r="H318">
        <v>25811.55</v>
      </c>
      <c r="I318" s="9" t="s">
        <v>1216</v>
      </c>
      <c r="J318" s="9" t="s">
        <v>1217</v>
      </c>
      <c r="K318" s="9" t="s">
        <v>233</v>
      </c>
      <c r="L318">
        <v>3026583</v>
      </c>
      <c r="M318" s="8">
        <v>44879</v>
      </c>
      <c r="N318" s="9" t="s">
        <v>77</v>
      </c>
      <c r="O318">
        <v>9.4000000000000004E-3</v>
      </c>
      <c r="P318">
        <v>1</v>
      </c>
      <c r="Q318" s="9" t="s">
        <v>1823</v>
      </c>
      <c r="R318" s="9" t="s">
        <v>1838</v>
      </c>
      <c r="S318" s="9" t="s">
        <v>1839</v>
      </c>
      <c r="T318" s="9" t="s">
        <v>1838</v>
      </c>
      <c r="U318" s="9" t="s">
        <v>1840</v>
      </c>
      <c r="V318" s="9" t="s">
        <v>1838</v>
      </c>
      <c r="W318" s="9" t="s">
        <v>1838</v>
      </c>
      <c r="X318" s="9" t="s">
        <v>1838</v>
      </c>
      <c r="Y318" s="9" t="s">
        <v>1841</v>
      </c>
      <c r="Z318">
        <v>4842179.1619999995</v>
      </c>
      <c r="AA318">
        <v>12553041.036323847</v>
      </c>
      <c r="AB318" s="9" t="s">
        <v>1850</v>
      </c>
      <c r="AC318" s="9" t="s">
        <v>1838</v>
      </c>
    </row>
    <row r="319" spans="1:29">
      <c r="A319" s="9" t="s">
        <v>1218</v>
      </c>
      <c r="B319" s="9" t="s">
        <v>63</v>
      </c>
      <c r="C319" s="9" t="s">
        <v>64</v>
      </c>
      <c r="D319" s="9" t="s">
        <v>71</v>
      </c>
      <c r="E319">
        <v>2021</v>
      </c>
      <c r="F319">
        <v>1847713</v>
      </c>
      <c r="G319">
        <v>1.8499999999999999E-2</v>
      </c>
      <c r="H319">
        <v>34182.69</v>
      </c>
      <c r="I319" s="9" t="s">
        <v>1219</v>
      </c>
      <c r="J319" s="9" t="s">
        <v>1220</v>
      </c>
      <c r="K319" s="9" t="s">
        <v>158</v>
      </c>
      <c r="L319">
        <v>1849704</v>
      </c>
      <c r="M319" s="8">
        <v>45304</v>
      </c>
      <c r="N319" s="9" t="s">
        <v>64</v>
      </c>
      <c r="O319">
        <v>1.8499999999999999E-2</v>
      </c>
      <c r="P319">
        <v>1</v>
      </c>
      <c r="Q319" s="9" t="s">
        <v>1822</v>
      </c>
      <c r="R319" s="9" t="s">
        <v>1838</v>
      </c>
      <c r="S319" s="9" t="s">
        <v>1839</v>
      </c>
      <c r="T319" s="9" t="s">
        <v>1838</v>
      </c>
      <c r="U319" s="9" t="s">
        <v>1840</v>
      </c>
      <c r="V319" s="9" t="s">
        <v>1838</v>
      </c>
      <c r="W319" s="9" t="s">
        <v>1838</v>
      </c>
      <c r="X319" s="9" t="s">
        <v>1838</v>
      </c>
      <c r="Y319" s="9" t="s">
        <v>1841</v>
      </c>
      <c r="Z319">
        <v>4842179.1619999995</v>
      </c>
      <c r="AA319">
        <v>12553041.036323847</v>
      </c>
      <c r="AB319" s="9" t="s">
        <v>1850</v>
      </c>
      <c r="AC319" s="9" t="s">
        <v>1838</v>
      </c>
    </row>
    <row r="320" spans="1:29">
      <c r="A320" s="9" t="s">
        <v>1221</v>
      </c>
      <c r="B320" s="9" t="s">
        <v>69</v>
      </c>
      <c r="C320" s="9" t="s">
        <v>70</v>
      </c>
      <c r="D320" s="9" t="s">
        <v>71</v>
      </c>
      <c r="E320">
        <v>2021</v>
      </c>
      <c r="F320">
        <v>2298787</v>
      </c>
      <c r="G320">
        <v>1.8599999999999998E-2</v>
      </c>
      <c r="H320">
        <v>42757.440000000002</v>
      </c>
      <c r="I320" s="9" t="s">
        <v>1222</v>
      </c>
      <c r="J320" s="9" t="s">
        <v>1223</v>
      </c>
      <c r="K320" s="9" t="s">
        <v>1224</v>
      </c>
      <c r="L320">
        <v>2690967</v>
      </c>
      <c r="M320" s="8">
        <v>44456</v>
      </c>
      <c r="N320" s="9" t="s">
        <v>70</v>
      </c>
      <c r="O320">
        <v>1.8599999999999998E-2</v>
      </c>
      <c r="P320">
        <v>1</v>
      </c>
      <c r="Q320" s="9" t="s">
        <v>1822</v>
      </c>
      <c r="R320" s="9" t="s">
        <v>1838</v>
      </c>
      <c r="S320" s="9" t="s">
        <v>1839</v>
      </c>
      <c r="T320" s="9" t="s">
        <v>1838</v>
      </c>
      <c r="U320" s="9" t="s">
        <v>1840</v>
      </c>
      <c r="V320" s="9" t="s">
        <v>1838</v>
      </c>
      <c r="W320" s="9" t="s">
        <v>1838</v>
      </c>
      <c r="X320" s="9" t="s">
        <v>1838</v>
      </c>
      <c r="Y320" s="9" t="s">
        <v>1841</v>
      </c>
      <c r="Z320">
        <v>4842179.1619999995</v>
      </c>
      <c r="AA320">
        <v>12553041.036323847</v>
      </c>
      <c r="AB320" s="9" t="s">
        <v>1850</v>
      </c>
      <c r="AC320" s="9" t="s">
        <v>1838</v>
      </c>
    </row>
    <row r="321" spans="1:29">
      <c r="A321" s="9" t="s">
        <v>1225</v>
      </c>
      <c r="B321" s="9" t="s">
        <v>87</v>
      </c>
      <c r="C321" s="9" t="s">
        <v>88</v>
      </c>
      <c r="D321" s="9" t="s">
        <v>97</v>
      </c>
      <c r="E321">
        <v>2023</v>
      </c>
      <c r="F321">
        <v>3246808</v>
      </c>
      <c r="G321">
        <v>2.0500000000000001E-2</v>
      </c>
      <c r="H321">
        <v>66459.56</v>
      </c>
      <c r="I321" s="9" t="s">
        <v>1226</v>
      </c>
      <c r="J321" s="9" t="s">
        <v>1227</v>
      </c>
      <c r="K321" s="9" t="s">
        <v>1228</v>
      </c>
      <c r="L321">
        <v>3746290</v>
      </c>
      <c r="M321" s="8">
        <v>44346</v>
      </c>
      <c r="N321" s="9" t="s">
        <v>88</v>
      </c>
      <c r="O321">
        <v>2.0500000000000001E-2</v>
      </c>
      <c r="P321">
        <v>1</v>
      </c>
      <c r="Q321" s="9" t="s">
        <v>1821</v>
      </c>
      <c r="R321" s="9" t="s">
        <v>1838</v>
      </c>
      <c r="S321" s="9" t="s">
        <v>1839</v>
      </c>
      <c r="T321" s="9" t="s">
        <v>1845</v>
      </c>
      <c r="U321" s="9" t="s">
        <v>1840</v>
      </c>
      <c r="V321" s="9" t="s">
        <v>1838</v>
      </c>
      <c r="W321" s="9" t="s">
        <v>1838</v>
      </c>
      <c r="X321" s="9" t="s">
        <v>1838</v>
      </c>
      <c r="Y321" s="9" t="s">
        <v>1841</v>
      </c>
      <c r="Z321">
        <v>4842179.1619999995</v>
      </c>
      <c r="AA321">
        <v>12553041.036323847</v>
      </c>
      <c r="AB321" s="9" t="s">
        <v>1850</v>
      </c>
      <c r="AC321" s="9" t="s">
        <v>1843</v>
      </c>
    </row>
    <row r="322" spans="1:29">
      <c r="A322" s="9" t="s">
        <v>1229</v>
      </c>
      <c r="B322" s="9" t="s">
        <v>76</v>
      </c>
      <c r="C322" s="9" t="s">
        <v>77</v>
      </c>
      <c r="D322" s="9" t="s">
        <v>51</v>
      </c>
      <c r="E322">
        <v>2021</v>
      </c>
      <c r="F322">
        <v>864083</v>
      </c>
      <c r="G322">
        <v>1.24E-2</v>
      </c>
      <c r="H322">
        <v>10714.63</v>
      </c>
      <c r="I322" s="9" t="s">
        <v>1230</v>
      </c>
      <c r="J322" s="9" t="s">
        <v>1231</v>
      </c>
      <c r="K322" s="9" t="s">
        <v>1232</v>
      </c>
      <c r="L322">
        <v>918896</v>
      </c>
      <c r="M322" s="8">
        <v>43776</v>
      </c>
      <c r="N322" s="9" t="s">
        <v>77</v>
      </c>
      <c r="O322">
        <v>1.24E-2</v>
      </c>
      <c r="P322">
        <v>1</v>
      </c>
      <c r="Q322" s="9" t="s">
        <v>1820</v>
      </c>
      <c r="R322" s="9" t="s">
        <v>1838</v>
      </c>
      <c r="S322" s="9" t="s">
        <v>1839</v>
      </c>
      <c r="T322" s="9" t="s">
        <v>1838</v>
      </c>
      <c r="U322" s="9" t="s">
        <v>1840</v>
      </c>
      <c r="V322" s="9" t="s">
        <v>1838</v>
      </c>
      <c r="W322" s="9" t="s">
        <v>1838</v>
      </c>
      <c r="X322" s="9" t="s">
        <v>1838</v>
      </c>
      <c r="Y322" s="9" t="s">
        <v>1841</v>
      </c>
      <c r="Z322">
        <v>4842179.1619999995</v>
      </c>
      <c r="AA322">
        <v>12553041.036323847</v>
      </c>
      <c r="AB322" s="9" t="s">
        <v>1850</v>
      </c>
      <c r="AC322" s="9" t="s">
        <v>1838</v>
      </c>
    </row>
    <row r="323" spans="1:29">
      <c r="A323" s="9" t="s">
        <v>1233</v>
      </c>
      <c r="B323" s="9" t="s">
        <v>101</v>
      </c>
      <c r="C323" s="9" t="s">
        <v>102</v>
      </c>
      <c r="D323" s="9" t="s">
        <v>71</v>
      </c>
      <c r="E323">
        <v>2024</v>
      </c>
      <c r="F323">
        <v>6443352</v>
      </c>
      <c r="G323">
        <v>1.7899999999999999E-2</v>
      </c>
      <c r="H323">
        <v>121779.35</v>
      </c>
      <c r="I323" s="9" t="s">
        <v>1234</v>
      </c>
      <c r="J323" s="9" t="s">
        <v>1235</v>
      </c>
      <c r="K323" s="9" t="s">
        <v>1236</v>
      </c>
      <c r="L323">
        <v>6792589</v>
      </c>
      <c r="M323" s="8">
        <v>45204</v>
      </c>
      <c r="N323" s="9" t="s">
        <v>102</v>
      </c>
      <c r="O323">
        <v>1.89E-2</v>
      </c>
      <c r="P323">
        <v>1</v>
      </c>
      <c r="Q323" s="9" t="s">
        <v>1822</v>
      </c>
      <c r="R323" s="9" t="s">
        <v>1838</v>
      </c>
      <c r="S323" s="9" t="s">
        <v>1839</v>
      </c>
      <c r="T323" s="9" t="s">
        <v>1838</v>
      </c>
      <c r="U323" s="9" t="s">
        <v>1840</v>
      </c>
      <c r="V323" s="9" t="s">
        <v>1838</v>
      </c>
      <c r="W323" s="9" t="s">
        <v>1838</v>
      </c>
      <c r="X323" s="9" t="s">
        <v>1838</v>
      </c>
      <c r="Y323" s="9" t="s">
        <v>1841</v>
      </c>
      <c r="Z323">
        <v>4842179.1619999995</v>
      </c>
      <c r="AA323">
        <v>12553041.036323847</v>
      </c>
      <c r="AB323" s="9" t="s">
        <v>1850</v>
      </c>
      <c r="AC323" s="9" t="s">
        <v>1838</v>
      </c>
    </row>
    <row r="324" spans="1:29">
      <c r="A324" s="9" t="s">
        <v>1237</v>
      </c>
      <c r="B324" s="9" t="s">
        <v>76</v>
      </c>
      <c r="C324" s="9" t="s">
        <v>77</v>
      </c>
      <c r="D324" s="9" t="s">
        <v>82</v>
      </c>
      <c r="E324">
        <v>2024</v>
      </c>
      <c r="F324">
        <v>3987046</v>
      </c>
      <c r="G324">
        <v>1.47E-2</v>
      </c>
      <c r="H324">
        <v>58609.58</v>
      </c>
      <c r="I324" s="9" t="s">
        <v>1238</v>
      </c>
      <c r="J324" s="9" t="s">
        <v>1239</v>
      </c>
      <c r="K324" s="9" t="s">
        <v>240</v>
      </c>
      <c r="L324">
        <v>4603606</v>
      </c>
      <c r="M324" s="8">
        <v>45110</v>
      </c>
      <c r="N324" s="9" t="s">
        <v>77</v>
      </c>
      <c r="O324">
        <v>1.47E-2</v>
      </c>
      <c r="P324">
        <v>1</v>
      </c>
      <c r="Q324" s="9" t="s">
        <v>1824</v>
      </c>
      <c r="R324" s="9" t="s">
        <v>1838</v>
      </c>
      <c r="S324" s="9" t="s">
        <v>1839</v>
      </c>
      <c r="T324" s="9" t="s">
        <v>1838</v>
      </c>
      <c r="U324" s="9" t="s">
        <v>1840</v>
      </c>
      <c r="V324" s="9" t="s">
        <v>1838</v>
      </c>
      <c r="W324" s="9" t="s">
        <v>1838</v>
      </c>
      <c r="X324" s="9" t="s">
        <v>1838</v>
      </c>
      <c r="Y324" s="9" t="s">
        <v>1841</v>
      </c>
      <c r="Z324">
        <v>4842179.1619999995</v>
      </c>
      <c r="AA324">
        <v>12553041.036323847</v>
      </c>
      <c r="AB324" s="9" t="s">
        <v>1850</v>
      </c>
      <c r="AC324" s="9" t="s">
        <v>1838</v>
      </c>
    </row>
    <row r="325" spans="1:29">
      <c r="A325" s="9" t="s">
        <v>1240</v>
      </c>
      <c r="B325" s="9" t="s">
        <v>63</v>
      </c>
      <c r="C325" s="9" t="s">
        <v>64</v>
      </c>
      <c r="D325" s="9" t="s">
        <v>58</v>
      </c>
      <c r="E325">
        <v>2022</v>
      </c>
      <c r="F325">
        <v>2192695</v>
      </c>
      <c r="G325">
        <v>9.4999999999999998E-3</v>
      </c>
      <c r="H325">
        <v>20580.599999999999</v>
      </c>
      <c r="I325" s="9" t="s">
        <v>1241</v>
      </c>
      <c r="J325" s="9" t="s">
        <v>1242</v>
      </c>
      <c r="K325" s="9" t="s">
        <v>504</v>
      </c>
      <c r="L325">
        <v>2146750</v>
      </c>
      <c r="M325" s="8">
        <v>45040</v>
      </c>
      <c r="N325" s="9" t="s">
        <v>64</v>
      </c>
      <c r="O325">
        <v>9.4999999999999998E-3</v>
      </c>
      <c r="P325">
        <v>1</v>
      </c>
      <c r="Q325" s="9" t="s">
        <v>1823</v>
      </c>
      <c r="R325" s="9" t="s">
        <v>1838</v>
      </c>
      <c r="S325" s="9" t="s">
        <v>1839</v>
      </c>
      <c r="T325" s="9" t="s">
        <v>1845</v>
      </c>
      <c r="U325" s="9" t="s">
        <v>1840</v>
      </c>
      <c r="V325" s="9" t="s">
        <v>1838</v>
      </c>
      <c r="W325" s="9" t="s">
        <v>1838</v>
      </c>
      <c r="X325" s="9" t="s">
        <v>1838</v>
      </c>
      <c r="Y325" s="9" t="s">
        <v>1841</v>
      </c>
      <c r="Z325">
        <v>4842179.1619999995</v>
      </c>
      <c r="AA325">
        <v>12553041.036323847</v>
      </c>
      <c r="AB325" s="9" t="s">
        <v>1850</v>
      </c>
      <c r="AC325" s="9" t="s">
        <v>1843</v>
      </c>
    </row>
    <row r="326" spans="1:29">
      <c r="A326" s="9" t="s">
        <v>1243</v>
      </c>
      <c r="B326" s="9" t="s">
        <v>101</v>
      </c>
      <c r="C326" s="9" t="s">
        <v>102</v>
      </c>
      <c r="D326" s="9" t="s">
        <v>51</v>
      </c>
      <c r="E326">
        <v>2023</v>
      </c>
      <c r="F326">
        <v>658442</v>
      </c>
      <c r="G326">
        <v>1.29E-2</v>
      </c>
      <c r="H326">
        <v>8493.9</v>
      </c>
      <c r="I326" s="9" t="s">
        <v>1244</v>
      </c>
      <c r="J326" s="9" t="s">
        <v>1245</v>
      </c>
      <c r="K326" s="9" t="s">
        <v>1246</v>
      </c>
      <c r="L326">
        <v>639408</v>
      </c>
      <c r="M326" s="8">
        <v>44966</v>
      </c>
      <c r="N326" s="9" t="s">
        <v>102</v>
      </c>
      <c r="O326">
        <v>1.29E-2</v>
      </c>
      <c r="P326">
        <v>1</v>
      </c>
      <c r="Q326" s="9" t="s">
        <v>1820</v>
      </c>
      <c r="R326" s="9" t="s">
        <v>1838</v>
      </c>
      <c r="S326" s="9" t="s">
        <v>1839</v>
      </c>
      <c r="T326" s="9" t="s">
        <v>1838</v>
      </c>
      <c r="U326" s="9" t="s">
        <v>1840</v>
      </c>
      <c r="V326" s="9" t="s">
        <v>1838</v>
      </c>
      <c r="W326" s="9" t="s">
        <v>1838</v>
      </c>
      <c r="X326" s="9" t="s">
        <v>1838</v>
      </c>
      <c r="Y326" s="9" t="s">
        <v>1841</v>
      </c>
      <c r="Z326">
        <v>4842179.1619999995</v>
      </c>
      <c r="AA326">
        <v>12553041.036323847</v>
      </c>
      <c r="AB326" s="9" t="s">
        <v>1850</v>
      </c>
      <c r="AC326" s="9" t="s">
        <v>1838</v>
      </c>
    </row>
    <row r="327" spans="1:29">
      <c r="A327" s="9" t="s">
        <v>1247</v>
      </c>
      <c r="B327" s="9" t="s">
        <v>63</v>
      </c>
      <c r="C327" s="9" t="s">
        <v>64</v>
      </c>
      <c r="D327" s="9" t="s">
        <v>58</v>
      </c>
      <c r="E327">
        <v>2022</v>
      </c>
      <c r="F327">
        <v>1220896</v>
      </c>
      <c r="G327">
        <v>9.4999999999999998E-3</v>
      </c>
      <c r="H327">
        <v>11598.51</v>
      </c>
      <c r="I327" s="9" t="s">
        <v>1248</v>
      </c>
      <c r="J327" s="9" t="s">
        <v>1249</v>
      </c>
      <c r="K327" s="9" t="s">
        <v>84</v>
      </c>
      <c r="L327">
        <v>1437555</v>
      </c>
      <c r="M327" s="8">
        <v>44726</v>
      </c>
      <c r="N327" s="9" t="s">
        <v>64</v>
      </c>
      <c r="O327">
        <v>9.4999999999999998E-3</v>
      </c>
      <c r="P327">
        <v>1</v>
      </c>
      <c r="Q327" s="9" t="s">
        <v>1823</v>
      </c>
      <c r="R327" s="9" t="s">
        <v>1838</v>
      </c>
      <c r="S327" s="9" t="s">
        <v>1839</v>
      </c>
      <c r="T327" s="9" t="s">
        <v>1838</v>
      </c>
      <c r="U327" s="9" t="s">
        <v>1840</v>
      </c>
      <c r="V327" s="9" t="s">
        <v>1838</v>
      </c>
      <c r="W327" s="9" t="s">
        <v>1838</v>
      </c>
      <c r="X327" s="9" t="s">
        <v>1838</v>
      </c>
      <c r="Y327" s="9" t="s">
        <v>1841</v>
      </c>
      <c r="Z327">
        <v>4842179.1619999995</v>
      </c>
      <c r="AA327">
        <v>12553041.036323847</v>
      </c>
      <c r="AB327" s="9" t="s">
        <v>1850</v>
      </c>
      <c r="AC327" s="9" t="s">
        <v>1838</v>
      </c>
    </row>
    <row r="328" spans="1:29">
      <c r="A328" s="9" t="s">
        <v>1250</v>
      </c>
      <c r="B328" s="9" t="s">
        <v>101</v>
      </c>
      <c r="C328" s="9" t="s">
        <v>102</v>
      </c>
      <c r="D328" s="9" t="s">
        <v>82</v>
      </c>
      <c r="E328">
        <v>2024</v>
      </c>
      <c r="F328">
        <v>15175095</v>
      </c>
      <c r="G328">
        <v>1.52E-2</v>
      </c>
      <c r="H328">
        <v>230661.44</v>
      </c>
      <c r="I328" s="9" t="s">
        <v>1251</v>
      </c>
      <c r="J328" s="9" t="s">
        <v>1252</v>
      </c>
      <c r="K328" s="9" t="s">
        <v>1253</v>
      </c>
      <c r="L328">
        <v>14448720</v>
      </c>
      <c r="M328" s="8">
        <v>45383</v>
      </c>
      <c r="N328" s="9" t="s">
        <v>102</v>
      </c>
      <c r="O328">
        <v>1.52E-2</v>
      </c>
      <c r="P328">
        <v>1</v>
      </c>
      <c r="Q328" s="9" t="s">
        <v>1824</v>
      </c>
      <c r="R328" s="9" t="s">
        <v>1838</v>
      </c>
      <c r="S328" s="9" t="s">
        <v>1839</v>
      </c>
      <c r="T328" s="9" t="s">
        <v>1838</v>
      </c>
      <c r="U328" s="9" t="s">
        <v>1840</v>
      </c>
      <c r="V328" s="9" t="s">
        <v>1838</v>
      </c>
      <c r="W328" s="9" t="s">
        <v>1838</v>
      </c>
      <c r="X328" s="9" t="s">
        <v>1838</v>
      </c>
      <c r="Y328" s="9" t="s">
        <v>1841</v>
      </c>
      <c r="Z328">
        <v>4842179.1619999995</v>
      </c>
      <c r="AA328">
        <v>12553041.036323847</v>
      </c>
      <c r="AB328" s="9" t="s">
        <v>1850</v>
      </c>
      <c r="AC328" s="9" t="s">
        <v>1838</v>
      </c>
    </row>
    <row r="329" spans="1:29">
      <c r="A329" s="9" t="s">
        <v>1254</v>
      </c>
      <c r="B329" s="9" t="s">
        <v>76</v>
      </c>
      <c r="C329" s="9" t="s">
        <v>77</v>
      </c>
      <c r="D329" s="9" t="s">
        <v>51</v>
      </c>
      <c r="E329">
        <v>2021</v>
      </c>
      <c r="F329">
        <v>969836</v>
      </c>
      <c r="G329">
        <v>1.24E-2</v>
      </c>
      <c r="H329">
        <v>12025.97</v>
      </c>
      <c r="I329" s="9" t="s">
        <v>1255</v>
      </c>
      <c r="J329" s="9" t="s">
        <v>1256</v>
      </c>
      <c r="K329" s="9" t="s">
        <v>135</v>
      </c>
      <c r="L329">
        <v>1027701</v>
      </c>
      <c r="M329" s="8">
        <v>44165</v>
      </c>
      <c r="N329" s="9" t="s">
        <v>77</v>
      </c>
      <c r="O329">
        <v>1.24E-2</v>
      </c>
      <c r="P329">
        <v>1</v>
      </c>
      <c r="Q329" s="9" t="s">
        <v>1820</v>
      </c>
      <c r="R329" s="9" t="s">
        <v>1838</v>
      </c>
      <c r="S329" s="9" t="s">
        <v>1839</v>
      </c>
      <c r="T329" s="9" t="s">
        <v>1838</v>
      </c>
      <c r="U329" s="9" t="s">
        <v>1840</v>
      </c>
      <c r="V329" s="9" t="s">
        <v>1838</v>
      </c>
      <c r="W329" s="9" t="s">
        <v>1838</v>
      </c>
      <c r="X329" s="9" t="s">
        <v>1838</v>
      </c>
      <c r="Y329" s="9" t="s">
        <v>1841</v>
      </c>
      <c r="Z329">
        <v>4842179.1619999995</v>
      </c>
      <c r="AA329">
        <v>12553041.036323847</v>
      </c>
      <c r="AB329" s="9" t="s">
        <v>1850</v>
      </c>
      <c r="AC329" s="9" t="s">
        <v>1838</v>
      </c>
    </row>
    <row r="330" spans="1:29">
      <c r="A330" s="9" t="s">
        <v>1257</v>
      </c>
      <c r="B330" s="9" t="s">
        <v>87</v>
      </c>
      <c r="C330" s="9" t="s">
        <v>88</v>
      </c>
      <c r="D330" s="9" t="s">
        <v>51</v>
      </c>
      <c r="E330">
        <v>2021</v>
      </c>
      <c r="F330">
        <v>488935</v>
      </c>
      <c r="G330">
        <v>1.2500000000000001E-2</v>
      </c>
      <c r="H330">
        <v>6111.69</v>
      </c>
      <c r="I330" s="9" t="s">
        <v>1258</v>
      </c>
      <c r="J330" s="9" t="s">
        <v>1259</v>
      </c>
      <c r="K330" s="9" t="s">
        <v>1260</v>
      </c>
      <c r="L330">
        <v>605127</v>
      </c>
      <c r="M330" s="8">
        <v>44339</v>
      </c>
      <c r="N330" s="9" t="s">
        <v>88</v>
      </c>
      <c r="O330">
        <v>1.2500000000000001E-2</v>
      </c>
      <c r="P330">
        <v>1</v>
      </c>
      <c r="Q330" s="9" t="s">
        <v>1820</v>
      </c>
      <c r="R330" s="9" t="s">
        <v>1838</v>
      </c>
      <c r="S330" s="9" t="s">
        <v>1839</v>
      </c>
      <c r="T330" s="9" t="s">
        <v>1838</v>
      </c>
      <c r="U330" s="9" t="s">
        <v>1840</v>
      </c>
      <c r="V330" s="9" t="s">
        <v>1838</v>
      </c>
      <c r="W330" s="9" t="s">
        <v>1838</v>
      </c>
      <c r="X330" s="9" t="s">
        <v>1838</v>
      </c>
      <c r="Y330" s="9" t="s">
        <v>1841</v>
      </c>
      <c r="Z330">
        <v>4842179.1619999995</v>
      </c>
      <c r="AA330">
        <v>12553041.036323847</v>
      </c>
      <c r="AB330" s="9" t="s">
        <v>1850</v>
      </c>
      <c r="AC330" s="9" t="s">
        <v>1838</v>
      </c>
    </row>
    <row r="331" spans="1:29">
      <c r="A331" s="9" t="s">
        <v>1261</v>
      </c>
      <c r="B331" s="9" t="s">
        <v>63</v>
      </c>
      <c r="C331" s="9" t="s">
        <v>64</v>
      </c>
      <c r="D331" s="9" t="s">
        <v>82</v>
      </c>
      <c r="E331">
        <v>2022</v>
      </c>
      <c r="F331">
        <v>45336710</v>
      </c>
      <c r="G331">
        <v>1.4800000000000001E-2</v>
      </c>
      <c r="H331">
        <v>670983.31000000006</v>
      </c>
      <c r="I331" s="9" t="s">
        <v>1262</v>
      </c>
      <c r="J331" s="9" t="s">
        <v>1263</v>
      </c>
      <c r="K331" s="9" t="s">
        <v>1264</v>
      </c>
      <c r="L331">
        <v>5162634</v>
      </c>
      <c r="M331" s="8">
        <v>45460</v>
      </c>
      <c r="N331" s="9" t="s">
        <v>64</v>
      </c>
      <c r="O331">
        <v>1.4800000000000001E-2</v>
      </c>
      <c r="P331">
        <v>1</v>
      </c>
      <c r="Q331" s="9" t="s">
        <v>1824</v>
      </c>
      <c r="R331" s="9" t="s">
        <v>1838</v>
      </c>
      <c r="S331" s="9" t="s">
        <v>1839</v>
      </c>
      <c r="T331" s="9" t="s">
        <v>1838</v>
      </c>
      <c r="U331" s="9" t="s">
        <v>1840</v>
      </c>
      <c r="V331" s="9" t="s">
        <v>1838</v>
      </c>
      <c r="W331" s="9" t="s">
        <v>1838</v>
      </c>
      <c r="X331" s="9" t="s">
        <v>1838</v>
      </c>
      <c r="Y331" s="9" t="s">
        <v>1841</v>
      </c>
      <c r="Z331">
        <v>4842179.1619999995</v>
      </c>
      <c r="AA331">
        <v>12553041.036323847</v>
      </c>
      <c r="AB331" s="9" t="s">
        <v>1851</v>
      </c>
      <c r="AC331" s="9" t="s">
        <v>1843</v>
      </c>
    </row>
    <row r="332" spans="1:29">
      <c r="A332" s="9" t="s">
        <v>1265</v>
      </c>
      <c r="B332" s="9" t="s">
        <v>49</v>
      </c>
      <c r="C332" s="9" t="s">
        <v>50</v>
      </c>
      <c r="D332" s="9" t="s">
        <v>51</v>
      </c>
      <c r="E332">
        <v>2021</v>
      </c>
      <c r="F332">
        <v>549510</v>
      </c>
      <c r="G332">
        <v>1.21E-2</v>
      </c>
      <c r="H332">
        <v>6649.07</v>
      </c>
      <c r="I332" s="9" t="s">
        <v>1266</v>
      </c>
      <c r="J332" s="9" t="s">
        <v>1267</v>
      </c>
      <c r="K332" s="9" t="s">
        <v>448</v>
      </c>
      <c r="L332">
        <v>611983</v>
      </c>
      <c r="M332" s="8">
        <v>43620</v>
      </c>
      <c r="N332" s="9" t="s">
        <v>50</v>
      </c>
      <c r="O332">
        <v>1.21E-2</v>
      </c>
      <c r="P332">
        <v>1</v>
      </c>
      <c r="Q332" s="9" t="s">
        <v>1820</v>
      </c>
      <c r="R332" s="9" t="s">
        <v>1838</v>
      </c>
      <c r="S332" s="9" t="s">
        <v>1839</v>
      </c>
      <c r="T332" s="9" t="s">
        <v>1838</v>
      </c>
      <c r="U332" s="9" t="s">
        <v>1840</v>
      </c>
      <c r="V332" s="9" t="s">
        <v>1838</v>
      </c>
      <c r="W332" s="9" t="s">
        <v>1838</v>
      </c>
      <c r="X332" s="9" t="s">
        <v>1838</v>
      </c>
      <c r="Y332" s="9" t="s">
        <v>1841</v>
      </c>
      <c r="Z332">
        <v>4842179.1619999995</v>
      </c>
      <c r="AA332">
        <v>12553041.036323847</v>
      </c>
      <c r="AB332" s="9" t="s">
        <v>1850</v>
      </c>
      <c r="AC332" s="9" t="s">
        <v>1838</v>
      </c>
    </row>
    <row r="333" spans="1:29">
      <c r="A333" s="9" t="s">
        <v>1268</v>
      </c>
      <c r="B333" s="9" t="s">
        <v>87</v>
      </c>
      <c r="C333" s="9" t="s">
        <v>88</v>
      </c>
      <c r="D333" s="9" t="s">
        <v>97</v>
      </c>
      <c r="E333">
        <v>2024</v>
      </c>
      <c r="F333">
        <v>2979307</v>
      </c>
      <c r="G333">
        <v>2.0500000000000001E-2</v>
      </c>
      <c r="H333">
        <v>61075.79</v>
      </c>
      <c r="I333" s="9" t="s">
        <v>1269</v>
      </c>
      <c r="J333" s="9" t="s">
        <v>1270</v>
      </c>
      <c r="K333" s="9" t="s">
        <v>572</v>
      </c>
      <c r="L333">
        <v>2910028</v>
      </c>
      <c r="M333" s="8">
        <v>45479</v>
      </c>
      <c r="N333" s="9" t="s">
        <v>88</v>
      </c>
      <c r="O333">
        <v>2.0500000000000001E-2</v>
      </c>
      <c r="P333">
        <v>1</v>
      </c>
      <c r="Q333" s="9" t="s">
        <v>1821</v>
      </c>
      <c r="R333" s="9" t="s">
        <v>1838</v>
      </c>
      <c r="S333" s="9" t="s">
        <v>1839</v>
      </c>
      <c r="T333" s="9" t="s">
        <v>1838</v>
      </c>
      <c r="U333" s="9" t="s">
        <v>1840</v>
      </c>
      <c r="V333" s="9" t="s">
        <v>1838</v>
      </c>
      <c r="W333" s="9" t="s">
        <v>1838</v>
      </c>
      <c r="X333" s="9" t="s">
        <v>1838</v>
      </c>
      <c r="Y333" s="9" t="s">
        <v>1841</v>
      </c>
      <c r="Z333">
        <v>4842179.1619999995</v>
      </c>
      <c r="AA333">
        <v>12553041.036323847</v>
      </c>
      <c r="AB333" s="9" t="s">
        <v>1850</v>
      </c>
      <c r="AC333" s="9" t="s">
        <v>1838</v>
      </c>
    </row>
    <row r="334" spans="1:29">
      <c r="A334" s="9" t="s">
        <v>1271</v>
      </c>
      <c r="B334" s="9" t="s">
        <v>76</v>
      </c>
      <c r="C334" s="9" t="s">
        <v>77</v>
      </c>
      <c r="D334" s="9" t="s">
        <v>71</v>
      </c>
      <c r="E334">
        <v>2021</v>
      </c>
      <c r="F334">
        <v>2996212</v>
      </c>
      <c r="G334">
        <v>1.84E-2</v>
      </c>
      <c r="H334">
        <v>55130.3</v>
      </c>
      <c r="I334" s="9" t="s">
        <v>1272</v>
      </c>
      <c r="J334" s="9" t="s">
        <v>1273</v>
      </c>
      <c r="K334" s="9" t="s">
        <v>961</v>
      </c>
      <c r="L334">
        <v>2806095</v>
      </c>
      <c r="M334" s="8">
        <v>43680</v>
      </c>
      <c r="N334" s="9" t="s">
        <v>77</v>
      </c>
      <c r="O334">
        <v>1.84E-2</v>
      </c>
      <c r="P334">
        <v>1</v>
      </c>
      <c r="Q334" s="9" t="s">
        <v>1822</v>
      </c>
      <c r="R334" s="9" t="s">
        <v>1838</v>
      </c>
      <c r="S334" s="9" t="s">
        <v>1839</v>
      </c>
      <c r="T334" s="9" t="s">
        <v>1838</v>
      </c>
      <c r="U334" s="9" t="s">
        <v>1840</v>
      </c>
      <c r="V334" s="9" t="s">
        <v>1838</v>
      </c>
      <c r="W334" s="9" t="s">
        <v>1838</v>
      </c>
      <c r="X334" s="9" t="s">
        <v>1838</v>
      </c>
      <c r="Y334" s="9" t="s">
        <v>1841</v>
      </c>
      <c r="Z334">
        <v>4842179.1619999995</v>
      </c>
      <c r="AA334">
        <v>12553041.036323847</v>
      </c>
      <c r="AB334" s="9" t="s">
        <v>1850</v>
      </c>
      <c r="AC334" s="9" t="s">
        <v>1838</v>
      </c>
    </row>
    <row r="335" spans="1:29">
      <c r="A335" s="9" t="s">
        <v>1274</v>
      </c>
      <c r="B335" s="9" t="s">
        <v>56</v>
      </c>
      <c r="C335" s="9" t="s">
        <v>57</v>
      </c>
      <c r="D335" s="9" t="s">
        <v>97</v>
      </c>
      <c r="E335">
        <v>2022</v>
      </c>
      <c r="F335">
        <v>3753842</v>
      </c>
      <c r="G335">
        <v>2.0400000000000001E-2</v>
      </c>
      <c r="H335">
        <v>76578.38</v>
      </c>
      <c r="I335" s="9" t="s">
        <v>1275</v>
      </c>
      <c r="J335" s="9" t="s">
        <v>1276</v>
      </c>
      <c r="K335" s="9" t="s">
        <v>61</v>
      </c>
      <c r="L335">
        <v>3677728</v>
      </c>
      <c r="M335" s="8">
        <v>44437</v>
      </c>
      <c r="N335" s="9" t="s">
        <v>57</v>
      </c>
      <c r="O335">
        <v>2.0400000000000001E-2</v>
      </c>
      <c r="P335">
        <v>1</v>
      </c>
      <c r="Q335" s="9" t="s">
        <v>1821</v>
      </c>
      <c r="R335" s="9" t="s">
        <v>1838</v>
      </c>
      <c r="S335" s="9" t="s">
        <v>1839</v>
      </c>
      <c r="T335" s="9" t="s">
        <v>1838</v>
      </c>
      <c r="U335" s="9" t="s">
        <v>1840</v>
      </c>
      <c r="V335" s="9" t="s">
        <v>1838</v>
      </c>
      <c r="W335" s="9" t="s">
        <v>1838</v>
      </c>
      <c r="X335" s="9" t="s">
        <v>1838</v>
      </c>
      <c r="Y335" s="9" t="s">
        <v>1841</v>
      </c>
      <c r="Z335">
        <v>4842179.1619999995</v>
      </c>
      <c r="AA335">
        <v>12553041.036323847</v>
      </c>
      <c r="AB335" s="9" t="s">
        <v>1850</v>
      </c>
      <c r="AC335" s="9" t="s">
        <v>1838</v>
      </c>
    </row>
    <row r="336" spans="1:29">
      <c r="A336" s="9" t="s">
        <v>1277</v>
      </c>
      <c r="B336" s="9" t="s">
        <v>69</v>
      </c>
      <c r="C336" s="9" t="s">
        <v>70</v>
      </c>
      <c r="D336" s="9" t="s">
        <v>97</v>
      </c>
      <c r="E336">
        <v>2024</v>
      </c>
      <c r="F336">
        <v>4401535</v>
      </c>
      <c r="G336">
        <v>2.06E-2</v>
      </c>
      <c r="H336">
        <v>90671.62</v>
      </c>
      <c r="I336" s="9" t="s">
        <v>1278</v>
      </c>
      <c r="J336" s="9" t="s">
        <v>1279</v>
      </c>
      <c r="K336" s="9" t="s">
        <v>1280</v>
      </c>
      <c r="L336">
        <v>4513803</v>
      </c>
      <c r="M336" s="8">
        <v>44749</v>
      </c>
      <c r="N336" s="9" t="s">
        <v>70</v>
      </c>
      <c r="O336">
        <v>2.06E-2</v>
      </c>
      <c r="P336">
        <v>1</v>
      </c>
      <c r="Q336" s="9" t="s">
        <v>1821</v>
      </c>
      <c r="R336" s="9" t="s">
        <v>1838</v>
      </c>
      <c r="S336" s="9" t="s">
        <v>1839</v>
      </c>
      <c r="T336" s="9" t="s">
        <v>1838</v>
      </c>
      <c r="U336" s="9" t="s">
        <v>1840</v>
      </c>
      <c r="V336" s="9" t="s">
        <v>1838</v>
      </c>
      <c r="W336" s="9" t="s">
        <v>1838</v>
      </c>
      <c r="X336" s="9" t="s">
        <v>1838</v>
      </c>
      <c r="Y336" s="9" t="s">
        <v>1841</v>
      </c>
      <c r="Z336">
        <v>4842179.1619999995</v>
      </c>
      <c r="AA336">
        <v>12553041.036323847</v>
      </c>
      <c r="AB336" s="9" t="s">
        <v>1850</v>
      </c>
      <c r="AC336" s="9" t="s">
        <v>1838</v>
      </c>
    </row>
    <row r="337" spans="1:29">
      <c r="A337" s="9" t="s">
        <v>1281</v>
      </c>
      <c r="B337" s="9" t="s">
        <v>76</v>
      </c>
      <c r="C337" s="9" t="s">
        <v>77</v>
      </c>
      <c r="D337" s="9" t="s">
        <v>71</v>
      </c>
      <c r="E337">
        <v>2022</v>
      </c>
      <c r="F337">
        <v>1575338</v>
      </c>
      <c r="G337">
        <v>1.84E-2</v>
      </c>
      <c r="H337">
        <v>28986.22</v>
      </c>
      <c r="I337" s="9" t="s">
        <v>1282</v>
      </c>
      <c r="J337" s="9" t="s">
        <v>1283</v>
      </c>
      <c r="K337" s="9" t="s">
        <v>1284</v>
      </c>
      <c r="L337">
        <v>1952706</v>
      </c>
      <c r="M337" s="8">
        <v>44406</v>
      </c>
      <c r="N337" s="9" t="s">
        <v>77</v>
      </c>
      <c r="O337">
        <v>1.84E-2</v>
      </c>
      <c r="P337">
        <v>1</v>
      </c>
      <c r="Q337" s="9" t="s">
        <v>1822</v>
      </c>
      <c r="R337" s="9" t="s">
        <v>1838</v>
      </c>
      <c r="S337" s="9" t="s">
        <v>1839</v>
      </c>
      <c r="T337" s="9" t="s">
        <v>1838</v>
      </c>
      <c r="U337" s="9" t="s">
        <v>1840</v>
      </c>
      <c r="V337" s="9" t="s">
        <v>1838</v>
      </c>
      <c r="W337" s="9" t="s">
        <v>1838</v>
      </c>
      <c r="X337" s="9" t="s">
        <v>1838</v>
      </c>
      <c r="Y337" s="9" t="s">
        <v>1841</v>
      </c>
      <c r="Z337">
        <v>4842179.1619999995</v>
      </c>
      <c r="AA337">
        <v>12553041.036323847</v>
      </c>
      <c r="AB337" s="9" t="s">
        <v>1850</v>
      </c>
      <c r="AC337" s="9" t="s">
        <v>1838</v>
      </c>
    </row>
    <row r="338" spans="1:29">
      <c r="A338" s="9" t="s">
        <v>1285</v>
      </c>
      <c r="B338" s="9" t="s">
        <v>49</v>
      </c>
      <c r="C338" s="9" t="s">
        <v>50</v>
      </c>
      <c r="D338" s="9" t="s">
        <v>58</v>
      </c>
      <c r="E338">
        <v>2024</v>
      </c>
      <c r="F338">
        <v>3046275</v>
      </c>
      <c r="G338">
        <v>9.1000000000000004E-3</v>
      </c>
      <c r="H338">
        <v>27721.1</v>
      </c>
      <c r="I338" s="9" t="s">
        <v>1286</v>
      </c>
      <c r="J338" s="9" t="s">
        <v>1287</v>
      </c>
      <c r="K338" s="9" t="s">
        <v>1288</v>
      </c>
      <c r="L338">
        <v>3353325</v>
      </c>
      <c r="M338" s="8">
        <v>44207</v>
      </c>
      <c r="N338" s="9" t="s">
        <v>50</v>
      </c>
      <c r="O338">
        <v>9.1000000000000004E-3</v>
      </c>
      <c r="P338">
        <v>1</v>
      </c>
      <c r="Q338" s="9" t="s">
        <v>1823</v>
      </c>
      <c r="R338" s="9" t="s">
        <v>1838</v>
      </c>
      <c r="S338" s="9" t="s">
        <v>1839</v>
      </c>
      <c r="T338" s="9" t="s">
        <v>1838</v>
      </c>
      <c r="U338" s="9" t="s">
        <v>1840</v>
      </c>
      <c r="V338" s="9" t="s">
        <v>1838</v>
      </c>
      <c r="W338" s="9" t="s">
        <v>1838</v>
      </c>
      <c r="X338" s="9" t="s">
        <v>1838</v>
      </c>
      <c r="Y338" s="9" t="s">
        <v>1841</v>
      </c>
      <c r="Z338">
        <v>4842179.1619999995</v>
      </c>
      <c r="AA338">
        <v>12553041.036323847</v>
      </c>
      <c r="AB338" s="9" t="s">
        <v>1850</v>
      </c>
      <c r="AC338" s="9" t="s">
        <v>1838</v>
      </c>
    </row>
    <row r="339" spans="1:29">
      <c r="A339" s="9" t="s">
        <v>1289</v>
      </c>
      <c r="B339" s="9" t="s">
        <v>69</v>
      </c>
      <c r="C339" s="9" t="s">
        <v>70</v>
      </c>
      <c r="D339" s="9" t="s">
        <v>51</v>
      </c>
      <c r="E339">
        <v>2021</v>
      </c>
      <c r="F339">
        <v>1403709</v>
      </c>
      <c r="G339">
        <v>1.26E-2</v>
      </c>
      <c r="H339">
        <v>17686.73</v>
      </c>
      <c r="I339" s="9" t="s">
        <v>1290</v>
      </c>
      <c r="J339" s="9" t="s">
        <v>1291</v>
      </c>
      <c r="K339" s="9" t="s">
        <v>1292</v>
      </c>
      <c r="L339">
        <v>1328539</v>
      </c>
      <c r="M339" s="8">
        <v>44677</v>
      </c>
      <c r="N339" s="9" t="s">
        <v>70</v>
      </c>
      <c r="O339">
        <v>1.26E-2</v>
      </c>
      <c r="P339">
        <v>1</v>
      </c>
      <c r="Q339" s="9" t="s">
        <v>1820</v>
      </c>
      <c r="R339" s="9" t="s">
        <v>1838</v>
      </c>
      <c r="S339" s="9" t="s">
        <v>1839</v>
      </c>
      <c r="T339" s="9" t="s">
        <v>1838</v>
      </c>
      <c r="U339" s="9" t="s">
        <v>1840</v>
      </c>
      <c r="V339" s="9" t="s">
        <v>1838</v>
      </c>
      <c r="W339" s="9" t="s">
        <v>1838</v>
      </c>
      <c r="X339" s="9" t="s">
        <v>1838</v>
      </c>
      <c r="Y339" s="9" t="s">
        <v>1841</v>
      </c>
      <c r="Z339">
        <v>4842179.1619999995</v>
      </c>
      <c r="AA339">
        <v>12553041.036323847</v>
      </c>
      <c r="AB339" s="9" t="s">
        <v>1850</v>
      </c>
      <c r="AC339" s="9" t="s">
        <v>1838</v>
      </c>
    </row>
    <row r="340" spans="1:29">
      <c r="A340" s="9" t="s">
        <v>1293</v>
      </c>
      <c r="B340" s="9" t="s">
        <v>76</v>
      </c>
      <c r="C340" s="9" t="s">
        <v>77</v>
      </c>
      <c r="D340" s="9" t="s">
        <v>51</v>
      </c>
      <c r="E340">
        <v>2021</v>
      </c>
      <c r="F340">
        <v>756541</v>
      </c>
      <c r="G340">
        <v>1.24E-2</v>
      </c>
      <c r="H340">
        <v>9381.11</v>
      </c>
      <c r="I340" s="9" t="s">
        <v>1294</v>
      </c>
      <c r="J340" s="9" t="s">
        <v>1295</v>
      </c>
      <c r="K340" s="9" t="s">
        <v>1296</v>
      </c>
      <c r="L340">
        <v>867273</v>
      </c>
      <c r="M340" s="8">
        <v>43471</v>
      </c>
      <c r="N340" s="9" t="s">
        <v>77</v>
      </c>
      <c r="O340">
        <v>1.24E-2</v>
      </c>
      <c r="P340">
        <v>1</v>
      </c>
      <c r="Q340" s="9" t="s">
        <v>1820</v>
      </c>
      <c r="R340" s="9" t="s">
        <v>1838</v>
      </c>
      <c r="S340" s="9" t="s">
        <v>1839</v>
      </c>
      <c r="T340" s="9" t="s">
        <v>1838</v>
      </c>
      <c r="U340" s="9" t="s">
        <v>1840</v>
      </c>
      <c r="V340" s="9" t="s">
        <v>1838</v>
      </c>
      <c r="W340" s="9" t="s">
        <v>1838</v>
      </c>
      <c r="X340" s="9" t="s">
        <v>1838</v>
      </c>
      <c r="Y340" s="9" t="s">
        <v>1841</v>
      </c>
      <c r="Z340">
        <v>4842179.1619999995</v>
      </c>
      <c r="AA340">
        <v>12553041.036323847</v>
      </c>
      <c r="AB340" s="9" t="s">
        <v>1850</v>
      </c>
      <c r="AC340" s="9" t="s">
        <v>1838</v>
      </c>
    </row>
    <row r="341" spans="1:29">
      <c r="A341" s="9" t="s">
        <v>1297</v>
      </c>
      <c r="B341" s="9" t="s">
        <v>49</v>
      </c>
      <c r="C341" s="9" t="s">
        <v>50</v>
      </c>
      <c r="D341" s="9" t="s">
        <v>58</v>
      </c>
      <c r="E341">
        <v>2023</v>
      </c>
      <c r="F341">
        <v>1817873</v>
      </c>
      <c r="G341">
        <v>9.1000000000000004E-3</v>
      </c>
      <c r="H341">
        <v>16542.64</v>
      </c>
      <c r="I341" s="9" t="s">
        <v>84</v>
      </c>
      <c r="J341" s="9" t="s">
        <v>1298</v>
      </c>
      <c r="K341" s="9" t="s">
        <v>170</v>
      </c>
      <c r="L341">
        <v>1868695</v>
      </c>
      <c r="M341" s="8">
        <v>45098</v>
      </c>
      <c r="N341" s="9" t="s">
        <v>50</v>
      </c>
      <c r="O341">
        <v>9.1000000000000004E-3</v>
      </c>
      <c r="P341">
        <v>1</v>
      </c>
      <c r="Q341" s="9" t="s">
        <v>1823</v>
      </c>
      <c r="R341" s="9" t="s">
        <v>1838</v>
      </c>
      <c r="S341" s="9" t="s">
        <v>1839</v>
      </c>
      <c r="T341" s="9" t="s">
        <v>1838</v>
      </c>
      <c r="U341" s="9" t="s">
        <v>1840</v>
      </c>
      <c r="V341" s="9" t="s">
        <v>1838</v>
      </c>
      <c r="W341" s="9" t="s">
        <v>1838</v>
      </c>
      <c r="X341" s="9" t="s">
        <v>1838</v>
      </c>
      <c r="Y341" s="9" t="s">
        <v>1841</v>
      </c>
      <c r="Z341">
        <v>4842179.1619999995</v>
      </c>
      <c r="AA341">
        <v>12553041.036323847</v>
      </c>
      <c r="AB341" s="9" t="s">
        <v>1850</v>
      </c>
      <c r="AC341" s="9" t="s">
        <v>1838</v>
      </c>
    </row>
    <row r="342" spans="1:29">
      <c r="A342" s="9" t="s">
        <v>1299</v>
      </c>
      <c r="B342" s="9" t="s">
        <v>63</v>
      </c>
      <c r="C342" s="9" t="s">
        <v>64</v>
      </c>
      <c r="D342" s="9" t="s">
        <v>71</v>
      </c>
      <c r="E342">
        <v>2023</v>
      </c>
      <c r="F342">
        <v>2879238</v>
      </c>
      <c r="G342">
        <v>1.8499999999999999E-2</v>
      </c>
      <c r="H342">
        <v>53265.9</v>
      </c>
      <c r="I342" s="9" t="s">
        <v>1300</v>
      </c>
      <c r="J342" s="9" t="s">
        <v>1301</v>
      </c>
      <c r="K342" s="9" t="s">
        <v>494</v>
      </c>
      <c r="L342">
        <v>3342092</v>
      </c>
      <c r="M342" s="8">
        <v>44292</v>
      </c>
      <c r="N342" s="9" t="s">
        <v>64</v>
      </c>
      <c r="O342">
        <v>1.8499999999999999E-2</v>
      </c>
      <c r="P342">
        <v>1</v>
      </c>
      <c r="Q342" s="9" t="s">
        <v>1822</v>
      </c>
      <c r="R342" s="9" t="s">
        <v>1838</v>
      </c>
      <c r="S342" s="9" t="s">
        <v>1839</v>
      </c>
      <c r="T342" s="9" t="s">
        <v>1838</v>
      </c>
      <c r="U342" s="9" t="s">
        <v>1840</v>
      </c>
      <c r="V342" s="9" t="s">
        <v>1838</v>
      </c>
      <c r="W342" s="9" t="s">
        <v>1838</v>
      </c>
      <c r="X342" s="9" t="s">
        <v>1838</v>
      </c>
      <c r="Y342" s="9" t="s">
        <v>1841</v>
      </c>
      <c r="Z342">
        <v>4842179.1619999995</v>
      </c>
      <c r="AA342">
        <v>12553041.036323847</v>
      </c>
      <c r="AB342" s="9" t="s">
        <v>1850</v>
      </c>
      <c r="AC342" s="9" t="s">
        <v>1838</v>
      </c>
    </row>
    <row r="343" spans="1:29">
      <c r="A343" s="9" t="s">
        <v>1302</v>
      </c>
      <c r="B343" s="9" t="s">
        <v>150</v>
      </c>
      <c r="C343" s="9" t="s">
        <v>151</v>
      </c>
      <c r="D343" s="9" t="s">
        <v>71</v>
      </c>
      <c r="E343">
        <v>2023</v>
      </c>
      <c r="F343">
        <v>4942928</v>
      </c>
      <c r="G343">
        <v>1.83E-2</v>
      </c>
      <c r="H343">
        <v>90455.58</v>
      </c>
      <c r="I343" s="9" t="s">
        <v>1303</v>
      </c>
      <c r="J343" s="9" t="s">
        <v>1304</v>
      </c>
      <c r="K343" s="9" t="s">
        <v>836</v>
      </c>
      <c r="L343">
        <v>4954260</v>
      </c>
      <c r="M343" s="8">
        <v>45102</v>
      </c>
      <c r="N343" s="9" t="s">
        <v>151</v>
      </c>
      <c r="O343">
        <v>1.83E-2</v>
      </c>
      <c r="P343">
        <v>1</v>
      </c>
      <c r="Q343" s="9" t="s">
        <v>1822</v>
      </c>
      <c r="R343" s="9" t="s">
        <v>1838</v>
      </c>
      <c r="S343" s="9" t="s">
        <v>1839</v>
      </c>
      <c r="T343" s="9" t="s">
        <v>1838</v>
      </c>
      <c r="U343" s="9" t="s">
        <v>1840</v>
      </c>
      <c r="V343" s="9" t="s">
        <v>1838</v>
      </c>
      <c r="W343" s="9" t="s">
        <v>1838</v>
      </c>
      <c r="X343" s="9" t="s">
        <v>1838</v>
      </c>
      <c r="Y343" s="9" t="s">
        <v>1841</v>
      </c>
      <c r="Z343">
        <v>4842179.1619999995</v>
      </c>
      <c r="AA343">
        <v>12553041.036323847</v>
      </c>
      <c r="AB343" s="9" t="s">
        <v>1850</v>
      </c>
      <c r="AC343" s="9" t="s">
        <v>1838</v>
      </c>
    </row>
    <row r="344" spans="1:29">
      <c r="A344" s="9" t="s">
        <v>1305</v>
      </c>
      <c r="B344" s="9" t="s">
        <v>150</v>
      </c>
      <c r="C344" s="9" t="s">
        <v>151</v>
      </c>
      <c r="D344" s="9" t="s">
        <v>51</v>
      </c>
      <c r="E344">
        <v>2022</v>
      </c>
      <c r="F344">
        <v>1161101</v>
      </c>
      <c r="G344">
        <v>1.23E-2</v>
      </c>
      <c r="H344">
        <v>14281.54</v>
      </c>
      <c r="I344" s="9" t="s">
        <v>1306</v>
      </c>
      <c r="J344" s="9" t="s">
        <v>1307</v>
      </c>
      <c r="K344" s="9" t="s">
        <v>1141</v>
      </c>
      <c r="L344">
        <v>1400575</v>
      </c>
      <c r="M344" s="8">
        <v>45598</v>
      </c>
      <c r="N344" s="9" t="s">
        <v>151</v>
      </c>
      <c r="O344">
        <v>1.23E-2</v>
      </c>
      <c r="P344">
        <v>1</v>
      </c>
      <c r="Q344" s="9" t="s">
        <v>1820</v>
      </c>
      <c r="R344" s="9" t="s">
        <v>1838</v>
      </c>
      <c r="S344" s="9" t="s">
        <v>1839</v>
      </c>
      <c r="T344" s="9" t="s">
        <v>1838</v>
      </c>
      <c r="U344" s="9" t="s">
        <v>1840</v>
      </c>
      <c r="V344" s="9" t="s">
        <v>1838</v>
      </c>
      <c r="W344" s="9" t="s">
        <v>1838</v>
      </c>
      <c r="X344" s="9" t="s">
        <v>1838</v>
      </c>
      <c r="Y344" s="9" t="s">
        <v>1841</v>
      </c>
      <c r="Z344">
        <v>4842179.1619999995</v>
      </c>
      <c r="AA344">
        <v>12553041.036323847</v>
      </c>
      <c r="AB344" s="9" t="s">
        <v>1850</v>
      </c>
      <c r="AC344" s="9" t="s">
        <v>1838</v>
      </c>
    </row>
    <row r="345" spans="1:29">
      <c r="A345" s="9" t="s">
        <v>1308</v>
      </c>
      <c r="B345" s="9" t="s">
        <v>63</v>
      </c>
      <c r="C345" s="9" t="s">
        <v>64</v>
      </c>
      <c r="D345" s="9" t="s">
        <v>71</v>
      </c>
      <c r="E345">
        <v>2024</v>
      </c>
      <c r="F345">
        <v>10252924</v>
      </c>
      <c r="G345">
        <v>1.8499999999999999E-2</v>
      </c>
      <c r="H345">
        <v>189679.09</v>
      </c>
      <c r="I345" s="9" t="s">
        <v>1309</v>
      </c>
      <c r="J345" s="9" t="s">
        <v>1310</v>
      </c>
      <c r="K345" s="9" t="s">
        <v>412</v>
      </c>
      <c r="L345">
        <v>10704997</v>
      </c>
      <c r="M345" s="8">
        <v>44899</v>
      </c>
      <c r="N345" s="9" t="s">
        <v>64</v>
      </c>
      <c r="O345">
        <v>1.8499999999999999E-2</v>
      </c>
      <c r="P345">
        <v>1</v>
      </c>
      <c r="Q345" s="9" t="s">
        <v>1822</v>
      </c>
      <c r="R345" s="9" t="s">
        <v>1838</v>
      </c>
      <c r="S345" s="9" t="s">
        <v>1839</v>
      </c>
      <c r="T345" s="9" t="s">
        <v>1838</v>
      </c>
      <c r="U345" s="9" t="s">
        <v>1840</v>
      </c>
      <c r="V345" s="9" t="s">
        <v>1838</v>
      </c>
      <c r="W345" s="9" t="s">
        <v>1838</v>
      </c>
      <c r="X345" s="9" t="s">
        <v>1838</v>
      </c>
      <c r="Y345" s="9" t="s">
        <v>1841</v>
      </c>
      <c r="Z345">
        <v>4842179.1619999995</v>
      </c>
      <c r="AA345">
        <v>12553041.036323847</v>
      </c>
      <c r="AB345" s="9" t="s">
        <v>1850</v>
      </c>
      <c r="AC345" s="9" t="s">
        <v>1838</v>
      </c>
    </row>
    <row r="346" spans="1:29">
      <c r="A346" s="9" t="s">
        <v>1311</v>
      </c>
      <c r="B346" s="9" t="s">
        <v>150</v>
      </c>
      <c r="C346" s="9" t="s">
        <v>151</v>
      </c>
      <c r="D346" s="9" t="s">
        <v>58</v>
      </c>
      <c r="E346">
        <v>2024</v>
      </c>
      <c r="F346">
        <v>1616946</v>
      </c>
      <c r="G346">
        <v>9.2999999999999992E-3</v>
      </c>
      <c r="H346">
        <v>14787.6</v>
      </c>
      <c r="I346" s="9" t="s">
        <v>1312</v>
      </c>
      <c r="J346" s="9" t="s">
        <v>1313</v>
      </c>
      <c r="K346" s="9" t="s">
        <v>1314</v>
      </c>
      <c r="L346">
        <v>1805353</v>
      </c>
      <c r="M346" s="8">
        <v>44526</v>
      </c>
      <c r="N346" s="9" t="s">
        <v>151</v>
      </c>
      <c r="O346">
        <v>9.2999999999999992E-3</v>
      </c>
      <c r="P346">
        <v>1</v>
      </c>
      <c r="Q346" s="9" t="s">
        <v>1823</v>
      </c>
      <c r="R346" s="9" t="s">
        <v>1838</v>
      </c>
      <c r="S346" s="9" t="s">
        <v>1839</v>
      </c>
      <c r="T346" s="9" t="s">
        <v>1845</v>
      </c>
      <c r="U346" s="9" t="s">
        <v>1840</v>
      </c>
      <c r="V346" s="9" t="s">
        <v>1838</v>
      </c>
      <c r="W346" s="9" t="s">
        <v>1838</v>
      </c>
      <c r="X346" s="9" t="s">
        <v>1838</v>
      </c>
      <c r="Y346" s="9" t="s">
        <v>1841</v>
      </c>
      <c r="Z346">
        <v>4842179.1619999995</v>
      </c>
      <c r="AA346">
        <v>12553041.036323847</v>
      </c>
      <c r="AB346" s="9" t="s">
        <v>1850</v>
      </c>
      <c r="AC346" s="9" t="s">
        <v>1843</v>
      </c>
    </row>
    <row r="347" spans="1:29">
      <c r="A347" s="9" t="s">
        <v>1315</v>
      </c>
      <c r="B347" s="9" t="s">
        <v>56</v>
      </c>
      <c r="C347" s="9" t="s">
        <v>57</v>
      </c>
      <c r="D347" s="9" t="s">
        <v>71</v>
      </c>
      <c r="E347">
        <v>2022</v>
      </c>
      <c r="F347">
        <v>10360499</v>
      </c>
      <c r="G347">
        <v>1.84E-2</v>
      </c>
      <c r="H347">
        <v>190633.18</v>
      </c>
      <c r="I347" s="9" t="s">
        <v>1316</v>
      </c>
      <c r="J347" s="9" t="s">
        <v>1317</v>
      </c>
      <c r="K347" s="9" t="s">
        <v>338</v>
      </c>
      <c r="L347">
        <v>10473743</v>
      </c>
      <c r="M347" s="8">
        <v>44874</v>
      </c>
      <c r="N347" s="9" t="s">
        <v>57</v>
      </c>
      <c r="O347">
        <v>1.84E-2</v>
      </c>
      <c r="P347">
        <v>1</v>
      </c>
      <c r="Q347" s="9" t="s">
        <v>1822</v>
      </c>
      <c r="R347" s="9" t="s">
        <v>1838</v>
      </c>
      <c r="S347" s="9" t="s">
        <v>1839</v>
      </c>
      <c r="T347" s="9" t="s">
        <v>1838</v>
      </c>
      <c r="U347" s="9" t="s">
        <v>1840</v>
      </c>
      <c r="V347" s="9" t="s">
        <v>1838</v>
      </c>
      <c r="W347" s="9" t="s">
        <v>1838</v>
      </c>
      <c r="X347" s="9" t="s">
        <v>1838</v>
      </c>
      <c r="Y347" s="9" t="s">
        <v>1841</v>
      </c>
      <c r="Z347">
        <v>4842179.1619999995</v>
      </c>
      <c r="AA347">
        <v>12553041.036323847</v>
      </c>
      <c r="AB347" s="9" t="s">
        <v>1850</v>
      </c>
      <c r="AC347" s="9" t="s">
        <v>1838</v>
      </c>
    </row>
    <row r="348" spans="1:29">
      <c r="A348" s="9" t="s">
        <v>1318</v>
      </c>
      <c r="B348" s="9" t="s">
        <v>131</v>
      </c>
      <c r="C348" s="9" t="s">
        <v>132</v>
      </c>
      <c r="D348" s="9" t="s">
        <v>71</v>
      </c>
      <c r="E348">
        <v>2024</v>
      </c>
      <c r="F348">
        <v>5205842</v>
      </c>
      <c r="G348">
        <v>1.8800000000000001E-2</v>
      </c>
      <c r="H348">
        <v>97869.83</v>
      </c>
      <c r="I348" s="9" t="s">
        <v>1319</v>
      </c>
      <c r="J348" s="9" t="s">
        <v>1320</v>
      </c>
      <c r="K348" s="9" t="s">
        <v>572</v>
      </c>
      <c r="L348">
        <v>5288866</v>
      </c>
      <c r="M348" s="8">
        <v>45641</v>
      </c>
      <c r="N348" s="9" t="s">
        <v>132</v>
      </c>
      <c r="O348">
        <v>1.8800000000000001E-2</v>
      </c>
      <c r="P348">
        <v>1</v>
      </c>
      <c r="Q348" s="9" t="s">
        <v>1822</v>
      </c>
      <c r="R348" s="9" t="s">
        <v>1838</v>
      </c>
      <c r="S348" s="9" t="s">
        <v>1839</v>
      </c>
      <c r="T348" s="9" t="s">
        <v>1838</v>
      </c>
      <c r="U348" s="9" t="s">
        <v>1840</v>
      </c>
      <c r="V348" s="9" t="s">
        <v>1838</v>
      </c>
      <c r="W348" s="9" t="s">
        <v>1838</v>
      </c>
      <c r="X348" s="9" t="s">
        <v>1838</v>
      </c>
      <c r="Y348" s="9" t="s">
        <v>1841</v>
      </c>
      <c r="Z348">
        <v>4842179.1619999995</v>
      </c>
      <c r="AA348">
        <v>12553041.036323847</v>
      </c>
      <c r="AB348" s="9" t="s">
        <v>1850</v>
      </c>
      <c r="AC348" s="9" t="s">
        <v>1838</v>
      </c>
    </row>
    <row r="349" spans="1:29">
      <c r="A349" s="9" t="s">
        <v>1321</v>
      </c>
      <c r="B349" s="9" t="s">
        <v>137</v>
      </c>
      <c r="C349" s="9" t="s">
        <v>138</v>
      </c>
      <c r="D349" s="9" t="s">
        <v>58</v>
      </c>
      <c r="E349">
        <v>2023</v>
      </c>
      <c r="F349">
        <v>3817263</v>
      </c>
      <c r="G349">
        <v>9.7000000000000003E-3</v>
      </c>
      <c r="H349">
        <v>37027.449999999997</v>
      </c>
      <c r="I349" s="9" t="s">
        <v>1322</v>
      </c>
      <c r="J349" s="9" t="s">
        <v>1323</v>
      </c>
      <c r="K349" s="9" t="s">
        <v>620</v>
      </c>
      <c r="L349">
        <v>3468665</v>
      </c>
      <c r="M349" s="8">
        <v>45095</v>
      </c>
      <c r="N349" s="9" t="s">
        <v>138</v>
      </c>
      <c r="O349">
        <v>9.7000000000000003E-3</v>
      </c>
      <c r="P349">
        <v>1</v>
      </c>
      <c r="Q349" s="9" t="s">
        <v>1823</v>
      </c>
      <c r="R349" s="9" t="s">
        <v>1838</v>
      </c>
      <c r="S349" s="9" t="s">
        <v>1839</v>
      </c>
      <c r="T349" s="9" t="s">
        <v>1838</v>
      </c>
      <c r="U349" s="9" t="s">
        <v>1840</v>
      </c>
      <c r="V349" s="9" t="s">
        <v>1838</v>
      </c>
      <c r="W349" s="9" t="s">
        <v>1838</v>
      </c>
      <c r="X349" s="9" t="s">
        <v>1838</v>
      </c>
      <c r="Y349" s="9" t="s">
        <v>1841</v>
      </c>
      <c r="Z349">
        <v>4842179.1619999995</v>
      </c>
      <c r="AA349">
        <v>12553041.036323847</v>
      </c>
      <c r="AB349" s="9" t="s">
        <v>1850</v>
      </c>
      <c r="AC349" s="9" t="s">
        <v>1838</v>
      </c>
    </row>
    <row r="350" spans="1:29">
      <c r="A350" s="9" t="s">
        <v>1324</v>
      </c>
      <c r="B350" s="9" t="s">
        <v>76</v>
      </c>
      <c r="C350" s="9" t="s">
        <v>77</v>
      </c>
      <c r="D350" s="9" t="s">
        <v>58</v>
      </c>
      <c r="E350">
        <v>2023</v>
      </c>
      <c r="F350">
        <v>734643</v>
      </c>
      <c r="G350">
        <v>9.4000000000000004E-3</v>
      </c>
      <c r="H350">
        <v>6905.64</v>
      </c>
      <c r="I350" s="9" t="s">
        <v>1325</v>
      </c>
      <c r="J350" s="9" t="s">
        <v>1326</v>
      </c>
      <c r="K350" s="9" t="s">
        <v>504</v>
      </c>
      <c r="L350">
        <v>762595</v>
      </c>
      <c r="M350" s="8">
        <v>44835</v>
      </c>
      <c r="N350" s="9" t="s">
        <v>77</v>
      </c>
      <c r="O350">
        <v>9.4000000000000004E-3</v>
      </c>
      <c r="P350">
        <v>1</v>
      </c>
      <c r="Q350" s="9" t="s">
        <v>1823</v>
      </c>
      <c r="R350" s="9" t="s">
        <v>1838</v>
      </c>
      <c r="S350" s="9" t="s">
        <v>1839</v>
      </c>
      <c r="T350" s="9" t="s">
        <v>1838</v>
      </c>
      <c r="U350" s="9" t="s">
        <v>1840</v>
      </c>
      <c r="V350" s="9" t="s">
        <v>1838</v>
      </c>
      <c r="W350" s="9" t="s">
        <v>1838</v>
      </c>
      <c r="X350" s="9" t="s">
        <v>1838</v>
      </c>
      <c r="Y350" s="9" t="s">
        <v>1841</v>
      </c>
      <c r="Z350">
        <v>4842179.1619999995</v>
      </c>
      <c r="AA350">
        <v>12553041.036323847</v>
      </c>
      <c r="AB350" s="9" t="s">
        <v>1850</v>
      </c>
      <c r="AC350" s="9" t="s">
        <v>1838</v>
      </c>
    </row>
    <row r="351" spans="1:29">
      <c r="A351" s="9" t="s">
        <v>1327</v>
      </c>
      <c r="B351" s="9" t="s">
        <v>150</v>
      </c>
      <c r="C351" s="9" t="s">
        <v>151</v>
      </c>
      <c r="D351" s="9" t="s">
        <v>82</v>
      </c>
      <c r="E351">
        <v>2021</v>
      </c>
      <c r="F351">
        <v>13324813</v>
      </c>
      <c r="G351">
        <v>1.46E-2</v>
      </c>
      <c r="H351">
        <v>194542.27</v>
      </c>
      <c r="I351" s="9" t="s">
        <v>1328</v>
      </c>
      <c r="J351" s="9" t="s">
        <v>1329</v>
      </c>
      <c r="K351" s="9" t="s">
        <v>1253</v>
      </c>
      <c r="L351">
        <v>12400864</v>
      </c>
      <c r="M351" s="8">
        <v>45285</v>
      </c>
      <c r="N351" s="9" t="s">
        <v>151</v>
      </c>
      <c r="O351">
        <v>1.46E-2</v>
      </c>
      <c r="P351">
        <v>1</v>
      </c>
      <c r="Q351" s="9" t="s">
        <v>1824</v>
      </c>
      <c r="R351" s="9" t="s">
        <v>1838</v>
      </c>
      <c r="S351" s="9" t="s">
        <v>1839</v>
      </c>
      <c r="T351" s="9" t="s">
        <v>1838</v>
      </c>
      <c r="U351" s="9" t="s">
        <v>1840</v>
      </c>
      <c r="V351" s="9" t="s">
        <v>1838</v>
      </c>
      <c r="W351" s="9" t="s">
        <v>1838</v>
      </c>
      <c r="X351" s="9" t="s">
        <v>1838</v>
      </c>
      <c r="Y351" s="9" t="s">
        <v>1841</v>
      </c>
      <c r="Z351">
        <v>4842179.1619999995</v>
      </c>
      <c r="AA351">
        <v>12553041.036323847</v>
      </c>
      <c r="AB351" s="9" t="s">
        <v>1850</v>
      </c>
      <c r="AC351" s="9" t="s">
        <v>1838</v>
      </c>
    </row>
    <row r="352" spans="1:29">
      <c r="A352" s="9" t="s">
        <v>1330</v>
      </c>
      <c r="B352" s="9" t="s">
        <v>69</v>
      </c>
      <c r="C352" s="9" t="s">
        <v>70</v>
      </c>
      <c r="D352" s="9" t="s">
        <v>58</v>
      </c>
      <c r="E352">
        <v>2023</v>
      </c>
      <c r="F352">
        <v>918127</v>
      </c>
      <c r="G352">
        <v>9.5999999999999992E-3</v>
      </c>
      <c r="H352">
        <v>8814.02</v>
      </c>
      <c r="I352" s="9" t="s">
        <v>1331</v>
      </c>
      <c r="J352" s="9" t="s">
        <v>1332</v>
      </c>
      <c r="K352" s="9" t="s">
        <v>229</v>
      </c>
      <c r="L352">
        <v>1069287</v>
      </c>
      <c r="M352" s="8">
        <v>44012</v>
      </c>
      <c r="N352" s="9" t="s">
        <v>70</v>
      </c>
      <c r="O352">
        <v>9.5999999999999992E-3</v>
      </c>
      <c r="P352">
        <v>1</v>
      </c>
      <c r="Q352" s="9" t="s">
        <v>1823</v>
      </c>
      <c r="R352" s="9" t="s">
        <v>1838</v>
      </c>
      <c r="S352" s="9" t="s">
        <v>1839</v>
      </c>
      <c r="T352" s="9" t="s">
        <v>1838</v>
      </c>
      <c r="U352" s="9" t="s">
        <v>1840</v>
      </c>
      <c r="V352" s="9" t="s">
        <v>1838</v>
      </c>
      <c r="W352" s="9" t="s">
        <v>1838</v>
      </c>
      <c r="X352" s="9" t="s">
        <v>1838</v>
      </c>
      <c r="Y352" s="9" t="s">
        <v>1841</v>
      </c>
      <c r="Z352">
        <v>4842179.1619999995</v>
      </c>
      <c r="AA352">
        <v>12553041.036323847</v>
      </c>
      <c r="AB352" s="9" t="s">
        <v>1850</v>
      </c>
      <c r="AC352" s="9" t="s">
        <v>1838</v>
      </c>
    </row>
    <row r="353" spans="1:29">
      <c r="A353" s="9" t="s">
        <v>1333</v>
      </c>
      <c r="B353" s="9" t="s">
        <v>63</v>
      </c>
      <c r="C353" s="9" t="s">
        <v>64</v>
      </c>
      <c r="D353" s="9" t="s">
        <v>58</v>
      </c>
      <c r="E353">
        <v>2023</v>
      </c>
      <c r="F353">
        <v>1503500</v>
      </c>
      <c r="G353">
        <v>9.4999999999999998E-3</v>
      </c>
      <c r="H353">
        <v>14283.25</v>
      </c>
      <c r="I353" s="9" t="s">
        <v>1334</v>
      </c>
      <c r="J353" s="9" t="s">
        <v>1335</v>
      </c>
      <c r="K353" s="9" t="s">
        <v>1031</v>
      </c>
      <c r="L353">
        <v>1367274</v>
      </c>
      <c r="M353" s="8">
        <v>43836</v>
      </c>
      <c r="N353" s="9" t="s">
        <v>64</v>
      </c>
      <c r="O353">
        <v>9.4999999999999998E-3</v>
      </c>
      <c r="P353">
        <v>1</v>
      </c>
      <c r="Q353" s="9" t="s">
        <v>1823</v>
      </c>
      <c r="R353" s="9" t="s">
        <v>1838</v>
      </c>
      <c r="S353" s="9" t="s">
        <v>1839</v>
      </c>
      <c r="T353" s="9" t="s">
        <v>1838</v>
      </c>
      <c r="U353" s="9" t="s">
        <v>1840</v>
      </c>
      <c r="V353" s="9" t="s">
        <v>1838</v>
      </c>
      <c r="W353" s="9" t="s">
        <v>1838</v>
      </c>
      <c r="X353" s="9" t="s">
        <v>1838</v>
      </c>
      <c r="Y353" s="9" t="s">
        <v>1841</v>
      </c>
      <c r="Z353">
        <v>4842179.1619999995</v>
      </c>
      <c r="AA353">
        <v>12553041.036323847</v>
      </c>
      <c r="AB353" s="9" t="s">
        <v>1850</v>
      </c>
      <c r="AC353" s="9" t="s">
        <v>1838</v>
      </c>
    </row>
    <row r="354" spans="1:29">
      <c r="A354" s="9" t="s">
        <v>1336</v>
      </c>
      <c r="B354" s="9" t="s">
        <v>131</v>
      </c>
      <c r="C354" s="9" t="s">
        <v>132</v>
      </c>
      <c r="D354" s="9" t="s">
        <v>71</v>
      </c>
      <c r="E354">
        <v>2023</v>
      </c>
      <c r="F354">
        <v>9899664</v>
      </c>
      <c r="G354">
        <v>1.8800000000000001E-2</v>
      </c>
      <c r="H354">
        <v>186113.68</v>
      </c>
      <c r="I354" s="9" t="s">
        <v>1337</v>
      </c>
      <c r="J354" s="9" t="s">
        <v>1338</v>
      </c>
      <c r="K354" s="9" t="s">
        <v>1339</v>
      </c>
      <c r="L354">
        <v>12354944</v>
      </c>
      <c r="M354" s="8">
        <v>43967</v>
      </c>
      <c r="N354" s="9" t="s">
        <v>132</v>
      </c>
      <c r="O354">
        <v>1.8800000000000001E-2</v>
      </c>
      <c r="P354">
        <v>1</v>
      </c>
      <c r="Q354" s="9" t="s">
        <v>1822</v>
      </c>
      <c r="R354" s="9" t="s">
        <v>1838</v>
      </c>
      <c r="S354" s="9" t="s">
        <v>1839</v>
      </c>
      <c r="T354" s="9" t="s">
        <v>1838</v>
      </c>
      <c r="U354" s="9" t="s">
        <v>1840</v>
      </c>
      <c r="V354" s="9" t="s">
        <v>1838</v>
      </c>
      <c r="W354" s="9" t="s">
        <v>1838</v>
      </c>
      <c r="X354" s="9" t="s">
        <v>1838</v>
      </c>
      <c r="Y354" s="9" t="s">
        <v>1841</v>
      </c>
      <c r="Z354">
        <v>4842179.1619999995</v>
      </c>
      <c r="AA354">
        <v>12553041.036323847</v>
      </c>
      <c r="AB354" s="9" t="s">
        <v>1850</v>
      </c>
      <c r="AC354" s="9" t="s">
        <v>1838</v>
      </c>
    </row>
    <row r="355" spans="1:29">
      <c r="A355" s="9" t="s">
        <v>1340</v>
      </c>
      <c r="B355" s="9" t="s">
        <v>87</v>
      </c>
      <c r="C355" s="9" t="s">
        <v>88</v>
      </c>
      <c r="D355" s="9" t="s">
        <v>71</v>
      </c>
      <c r="E355">
        <v>2024</v>
      </c>
      <c r="F355">
        <v>5398367</v>
      </c>
      <c r="G355">
        <v>1.8499999999999999E-2</v>
      </c>
      <c r="H355">
        <v>99869.79</v>
      </c>
      <c r="I355" s="9" t="s">
        <v>1341</v>
      </c>
      <c r="J355" s="9" t="s">
        <v>1342</v>
      </c>
      <c r="K355" s="9" t="s">
        <v>369</v>
      </c>
      <c r="L355">
        <v>5167091</v>
      </c>
      <c r="M355" s="8">
        <v>44755</v>
      </c>
      <c r="N355" s="9" t="s">
        <v>88</v>
      </c>
      <c r="O355">
        <v>1.8499999999999999E-2</v>
      </c>
      <c r="P355">
        <v>1</v>
      </c>
      <c r="Q355" s="9" t="s">
        <v>1822</v>
      </c>
      <c r="R355" s="9" t="s">
        <v>1838</v>
      </c>
      <c r="S355" s="9" t="s">
        <v>1839</v>
      </c>
      <c r="T355" s="9" t="s">
        <v>1838</v>
      </c>
      <c r="U355" s="9" t="s">
        <v>1840</v>
      </c>
      <c r="V355" s="9" t="s">
        <v>1838</v>
      </c>
      <c r="W355" s="9" t="s">
        <v>1838</v>
      </c>
      <c r="X355" s="9" t="s">
        <v>1838</v>
      </c>
      <c r="Y355" s="9" t="s">
        <v>1841</v>
      </c>
      <c r="Z355">
        <v>4842179.1619999995</v>
      </c>
      <c r="AA355">
        <v>12553041.036323847</v>
      </c>
      <c r="AB355" s="9" t="s">
        <v>1850</v>
      </c>
      <c r="AC355" s="9" t="s">
        <v>1838</v>
      </c>
    </row>
    <row r="356" spans="1:29">
      <c r="A356" s="9" t="s">
        <v>1343</v>
      </c>
      <c r="B356" s="9" t="s">
        <v>150</v>
      </c>
      <c r="C356" s="9" t="s">
        <v>151</v>
      </c>
      <c r="D356" s="9" t="s">
        <v>58</v>
      </c>
      <c r="E356">
        <v>2023</v>
      </c>
      <c r="F356">
        <v>582548</v>
      </c>
      <c r="G356">
        <v>9.2999999999999992E-3</v>
      </c>
      <c r="H356">
        <v>5417.7</v>
      </c>
      <c r="I356" s="9" t="s">
        <v>1344</v>
      </c>
      <c r="J356" s="9" t="s">
        <v>1345</v>
      </c>
      <c r="K356" s="9" t="s">
        <v>99</v>
      </c>
      <c r="M356" s="8">
        <v>45260</v>
      </c>
      <c r="N356" s="9" t="s">
        <v>151</v>
      </c>
      <c r="O356">
        <v>9.2999999999999992E-3</v>
      </c>
      <c r="P356">
        <v>1</v>
      </c>
      <c r="Q356" s="9" t="s">
        <v>1823</v>
      </c>
      <c r="R356" s="9" t="s">
        <v>1838</v>
      </c>
      <c r="S356" s="9" t="s">
        <v>1839</v>
      </c>
      <c r="T356" s="9" t="s">
        <v>1838</v>
      </c>
      <c r="U356" s="9" t="s">
        <v>1840</v>
      </c>
      <c r="V356" s="9" t="s">
        <v>1838</v>
      </c>
      <c r="W356" s="9" t="s">
        <v>1838</v>
      </c>
      <c r="X356" s="9" t="s">
        <v>1838</v>
      </c>
      <c r="Y356" s="9" t="s">
        <v>1841</v>
      </c>
      <c r="Z356">
        <v>4842179.1619999995</v>
      </c>
      <c r="AA356">
        <v>12553041.036323847</v>
      </c>
      <c r="AB356" s="9" t="s">
        <v>1850</v>
      </c>
      <c r="AC356" s="9" t="s">
        <v>1838</v>
      </c>
    </row>
    <row r="357" spans="1:29">
      <c r="A357" s="9" t="s">
        <v>1346</v>
      </c>
      <c r="B357" s="9" t="s">
        <v>150</v>
      </c>
      <c r="C357" s="9" t="s">
        <v>151</v>
      </c>
      <c r="D357" s="9" t="s">
        <v>51</v>
      </c>
      <c r="E357">
        <v>2023</v>
      </c>
      <c r="F357">
        <v>1066724</v>
      </c>
      <c r="G357">
        <v>1.23E-2</v>
      </c>
      <c r="H357">
        <v>13120.71</v>
      </c>
      <c r="I357" s="9" t="s">
        <v>1347</v>
      </c>
      <c r="J357" s="9" t="s">
        <v>1348</v>
      </c>
      <c r="K357" s="9" t="s">
        <v>1349</v>
      </c>
      <c r="L357">
        <v>1030398</v>
      </c>
      <c r="M357" s="8">
        <v>45668</v>
      </c>
      <c r="N357" s="9" t="s">
        <v>151</v>
      </c>
      <c r="O357">
        <v>1.23E-2</v>
      </c>
      <c r="P357">
        <v>1</v>
      </c>
      <c r="Q357" s="9" t="s">
        <v>1820</v>
      </c>
      <c r="R357" s="9" t="s">
        <v>1838</v>
      </c>
      <c r="S357" s="9" t="s">
        <v>1839</v>
      </c>
      <c r="T357" s="9" t="s">
        <v>1838</v>
      </c>
      <c r="U357" s="9" t="s">
        <v>1840</v>
      </c>
      <c r="V357" s="9" t="s">
        <v>1838</v>
      </c>
      <c r="W357" s="9" t="s">
        <v>1838</v>
      </c>
      <c r="X357" s="9" t="s">
        <v>1838</v>
      </c>
      <c r="Y357" s="9" t="s">
        <v>1841</v>
      </c>
      <c r="Z357">
        <v>4842179.1619999995</v>
      </c>
      <c r="AA357">
        <v>12553041.036323847</v>
      </c>
      <c r="AB357" s="9" t="s">
        <v>1850</v>
      </c>
      <c r="AC357" s="9" t="s">
        <v>1838</v>
      </c>
    </row>
    <row r="358" spans="1:29">
      <c r="A358" s="9" t="s">
        <v>1350</v>
      </c>
      <c r="B358" s="9" t="s">
        <v>56</v>
      </c>
      <c r="C358" s="9" t="s">
        <v>57</v>
      </c>
      <c r="D358" s="9" t="s">
        <v>82</v>
      </c>
      <c r="E358">
        <v>2021</v>
      </c>
      <c r="F358">
        <v>6205817</v>
      </c>
      <c r="G358">
        <v>1.47E-2</v>
      </c>
      <c r="H358">
        <v>91225.51</v>
      </c>
      <c r="I358" s="9" t="s">
        <v>1351</v>
      </c>
      <c r="J358" s="9" t="s">
        <v>1352</v>
      </c>
      <c r="K358" s="9" t="s">
        <v>580</v>
      </c>
      <c r="L358">
        <v>7202230</v>
      </c>
      <c r="M358" s="8">
        <v>43951</v>
      </c>
      <c r="N358" s="9" t="s">
        <v>57</v>
      </c>
      <c r="O358">
        <v>1.47E-2</v>
      </c>
      <c r="P358">
        <v>1</v>
      </c>
      <c r="Q358" s="9" t="s">
        <v>1824</v>
      </c>
      <c r="R358" s="9" t="s">
        <v>1838</v>
      </c>
      <c r="S358" s="9" t="s">
        <v>1839</v>
      </c>
      <c r="T358" s="9" t="s">
        <v>1838</v>
      </c>
      <c r="U358" s="9" t="s">
        <v>1840</v>
      </c>
      <c r="V358" s="9" t="s">
        <v>1838</v>
      </c>
      <c r="W358" s="9" t="s">
        <v>1838</v>
      </c>
      <c r="X358" s="9" t="s">
        <v>1838</v>
      </c>
      <c r="Y358" s="9" t="s">
        <v>1841</v>
      </c>
      <c r="Z358">
        <v>4842179.1619999995</v>
      </c>
      <c r="AA358">
        <v>12553041.036323847</v>
      </c>
      <c r="AB358" s="9" t="s">
        <v>1850</v>
      </c>
      <c r="AC358" s="9" t="s">
        <v>1838</v>
      </c>
    </row>
    <row r="359" spans="1:29">
      <c r="A359" s="9" t="s">
        <v>1353</v>
      </c>
      <c r="B359" s="9" t="s">
        <v>76</v>
      </c>
      <c r="C359" s="9" t="s">
        <v>77</v>
      </c>
      <c r="D359" s="9" t="s">
        <v>97</v>
      </c>
      <c r="E359">
        <v>2022</v>
      </c>
      <c r="F359">
        <v>3291286</v>
      </c>
      <c r="G359">
        <v>2.0400000000000001E-2</v>
      </c>
      <c r="H359">
        <v>67142.23</v>
      </c>
      <c r="I359" s="9" t="s">
        <v>1354</v>
      </c>
      <c r="J359" s="9" t="s">
        <v>1355</v>
      </c>
      <c r="K359" s="9" t="s">
        <v>642</v>
      </c>
      <c r="L359">
        <v>3875717</v>
      </c>
      <c r="M359" s="8">
        <v>45569</v>
      </c>
      <c r="N359" s="9" t="s">
        <v>77</v>
      </c>
      <c r="O359">
        <v>2.0400000000000001E-2</v>
      </c>
      <c r="P359">
        <v>1</v>
      </c>
      <c r="Q359" s="9" t="s">
        <v>1821</v>
      </c>
      <c r="R359" s="9" t="s">
        <v>1838</v>
      </c>
      <c r="S359" s="9" t="s">
        <v>1839</v>
      </c>
      <c r="T359" s="9" t="s">
        <v>1838</v>
      </c>
      <c r="U359" s="9" t="s">
        <v>1840</v>
      </c>
      <c r="V359" s="9" t="s">
        <v>1838</v>
      </c>
      <c r="W359" s="9" t="s">
        <v>1838</v>
      </c>
      <c r="X359" s="9" t="s">
        <v>1838</v>
      </c>
      <c r="Y359" s="9" t="s">
        <v>1841</v>
      </c>
      <c r="Z359">
        <v>4842179.1619999995</v>
      </c>
      <c r="AA359">
        <v>12553041.036323847</v>
      </c>
      <c r="AB359" s="9" t="s">
        <v>1850</v>
      </c>
      <c r="AC359" s="9" t="s">
        <v>1838</v>
      </c>
    </row>
    <row r="360" spans="1:29">
      <c r="A360" s="9" t="s">
        <v>1356</v>
      </c>
      <c r="B360" s="9" t="s">
        <v>87</v>
      </c>
      <c r="C360" s="9" t="s">
        <v>88</v>
      </c>
      <c r="D360" s="9" t="s">
        <v>51</v>
      </c>
      <c r="E360">
        <v>2024</v>
      </c>
      <c r="F360">
        <v>493846</v>
      </c>
      <c r="G360">
        <v>1.2500000000000001E-2</v>
      </c>
      <c r="H360">
        <v>6173.08</v>
      </c>
      <c r="I360" s="9" t="s">
        <v>1357</v>
      </c>
      <c r="J360" s="9" t="s">
        <v>1358</v>
      </c>
      <c r="K360" s="9" t="s">
        <v>154</v>
      </c>
      <c r="L360">
        <v>469620</v>
      </c>
      <c r="M360" s="8">
        <v>45725</v>
      </c>
      <c r="N360" s="9" t="s">
        <v>88</v>
      </c>
      <c r="O360">
        <v>1.2500000000000001E-2</v>
      </c>
      <c r="P360">
        <v>1</v>
      </c>
      <c r="Q360" s="9" t="s">
        <v>1820</v>
      </c>
      <c r="R360" s="9" t="s">
        <v>1838</v>
      </c>
      <c r="S360" s="9" t="s">
        <v>1839</v>
      </c>
      <c r="T360" s="9" t="s">
        <v>1838</v>
      </c>
      <c r="U360" s="9" t="s">
        <v>1840</v>
      </c>
      <c r="V360" s="9" t="s">
        <v>1838</v>
      </c>
      <c r="W360" s="9" t="s">
        <v>1838</v>
      </c>
      <c r="X360" s="9" t="s">
        <v>1838</v>
      </c>
      <c r="Y360" s="9" t="s">
        <v>1841</v>
      </c>
      <c r="Z360">
        <v>4842179.1619999995</v>
      </c>
      <c r="AA360">
        <v>12553041.036323847</v>
      </c>
      <c r="AB360" s="9" t="s">
        <v>1850</v>
      </c>
      <c r="AC360" s="9" t="s">
        <v>1838</v>
      </c>
    </row>
    <row r="361" spans="1:29">
      <c r="A361" s="9" t="s">
        <v>1359</v>
      </c>
      <c r="B361" s="9" t="s">
        <v>137</v>
      </c>
      <c r="C361" s="9" t="s">
        <v>138</v>
      </c>
      <c r="D361" s="9" t="s">
        <v>82</v>
      </c>
      <c r="E361">
        <v>2023</v>
      </c>
      <c r="F361">
        <v>5563964</v>
      </c>
      <c r="G361">
        <v>1.4999999999999999E-2</v>
      </c>
      <c r="H361">
        <v>83459.460000000006</v>
      </c>
      <c r="I361" s="9" t="s">
        <v>1360</v>
      </c>
      <c r="J361" s="9" t="s">
        <v>1361</v>
      </c>
      <c r="K361" s="9" t="s">
        <v>1362</v>
      </c>
      <c r="L361">
        <v>5015998</v>
      </c>
      <c r="M361" s="8">
        <v>45316</v>
      </c>
      <c r="N361" s="9" t="s">
        <v>138</v>
      </c>
      <c r="O361">
        <v>1.4999999999999999E-2</v>
      </c>
      <c r="P361">
        <v>1</v>
      </c>
      <c r="Q361" s="9" t="s">
        <v>1824</v>
      </c>
      <c r="R361" s="9" t="s">
        <v>1838</v>
      </c>
      <c r="S361" s="9" t="s">
        <v>1839</v>
      </c>
      <c r="T361" s="9" t="s">
        <v>1838</v>
      </c>
      <c r="U361" s="9" t="s">
        <v>1840</v>
      </c>
      <c r="V361" s="9" t="s">
        <v>1838</v>
      </c>
      <c r="W361" s="9" t="s">
        <v>1838</v>
      </c>
      <c r="X361" s="9" t="s">
        <v>1838</v>
      </c>
      <c r="Y361" s="9" t="s">
        <v>1841</v>
      </c>
      <c r="Z361">
        <v>4842179.1619999995</v>
      </c>
      <c r="AA361">
        <v>12553041.036323847</v>
      </c>
      <c r="AB361" s="9" t="s">
        <v>1850</v>
      </c>
      <c r="AC361" s="9" t="s">
        <v>1838</v>
      </c>
    </row>
    <row r="362" spans="1:29">
      <c r="A362" s="9" t="s">
        <v>1363</v>
      </c>
      <c r="B362" s="9" t="s">
        <v>49</v>
      </c>
      <c r="C362" s="9" t="s">
        <v>50</v>
      </c>
      <c r="D362" s="9" t="s">
        <v>97</v>
      </c>
      <c r="E362">
        <v>2024</v>
      </c>
      <c r="F362">
        <v>2139846</v>
      </c>
      <c r="G362">
        <v>2.01E-2</v>
      </c>
      <c r="H362">
        <v>43010.9</v>
      </c>
      <c r="I362" s="9" t="s">
        <v>1364</v>
      </c>
      <c r="J362" s="9" t="s">
        <v>1365</v>
      </c>
      <c r="K362" s="9" t="s">
        <v>198</v>
      </c>
      <c r="L362">
        <v>2663283</v>
      </c>
      <c r="M362" s="8">
        <v>44450</v>
      </c>
      <c r="N362" s="9" t="s">
        <v>50</v>
      </c>
      <c r="O362">
        <v>2.01E-2</v>
      </c>
      <c r="P362">
        <v>1</v>
      </c>
      <c r="Q362" s="9" t="s">
        <v>1821</v>
      </c>
      <c r="R362" s="9" t="s">
        <v>1838</v>
      </c>
      <c r="S362" s="9" t="s">
        <v>1839</v>
      </c>
      <c r="T362" s="9" t="s">
        <v>1838</v>
      </c>
      <c r="U362" s="9" t="s">
        <v>1840</v>
      </c>
      <c r="V362" s="9" t="s">
        <v>1838</v>
      </c>
      <c r="W362" s="9" t="s">
        <v>1838</v>
      </c>
      <c r="X362" s="9" t="s">
        <v>1838</v>
      </c>
      <c r="Y362" s="9" t="s">
        <v>1841</v>
      </c>
      <c r="Z362">
        <v>4842179.1619999995</v>
      </c>
      <c r="AA362">
        <v>12553041.036323847</v>
      </c>
      <c r="AB362" s="9" t="s">
        <v>1850</v>
      </c>
      <c r="AC362" s="9" t="s">
        <v>1838</v>
      </c>
    </row>
    <row r="363" spans="1:29">
      <c r="A363" s="9" t="s">
        <v>1366</v>
      </c>
      <c r="B363" s="9" t="s">
        <v>101</v>
      </c>
      <c r="C363" s="9" t="s">
        <v>102</v>
      </c>
      <c r="D363" s="9" t="s">
        <v>51</v>
      </c>
      <c r="E363">
        <v>2022</v>
      </c>
      <c r="F363">
        <v>768088</v>
      </c>
      <c r="G363">
        <v>1.29E-2</v>
      </c>
      <c r="H363">
        <v>9908.34</v>
      </c>
      <c r="I363" s="9" t="s">
        <v>1367</v>
      </c>
      <c r="J363" s="9" t="s">
        <v>1368</v>
      </c>
      <c r="K363" s="9" t="s">
        <v>1246</v>
      </c>
      <c r="L363">
        <v>953706</v>
      </c>
      <c r="M363" s="8">
        <v>45284</v>
      </c>
      <c r="N363" s="9" t="s">
        <v>102</v>
      </c>
      <c r="O363">
        <v>1.29E-2</v>
      </c>
      <c r="P363">
        <v>1</v>
      </c>
      <c r="Q363" s="9" t="s">
        <v>1820</v>
      </c>
      <c r="R363" s="9" t="s">
        <v>1838</v>
      </c>
      <c r="S363" s="9" t="s">
        <v>1839</v>
      </c>
      <c r="T363" s="9" t="s">
        <v>1838</v>
      </c>
      <c r="U363" s="9" t="s">
        <v>1840</v>
      </c>
      <c r="V363" s="9" t="s">
        <v>1838</v>
      </c>
      <c r="W363" s="9" t="s">
        <v>1838</v>
      </c>
      <c r="X363" s="9" t="s">
        <v>1838</v>
      </c>
      <c r="Y363" s="9" t="s">
        <v>1841</v>
      </c>
      <c r="Z363">
        <v>4842179.1619999995</v>
      </c>
      <c r="AA363">
        <v>12553041.036323847</v>
      </c>
      <c r="AB363" s="9" t="s">
        <v>1850</v>
      </c>
      <c r="AC363" s="9" t="s">
        <v>1838</v>
      </c>
    </row>
    <row r="364" spans="1:29">
      <c r="A364" s="9" t="s">
        <v>1369</v>
      </c>
      <c r="B364" s="9" t="s">
        <v>76</v>
      </c>
      <c r="C364" s="9" t="s">
        <v>77</v>
      </c>
      <c r="D364" s="9" t="s">
        <v>82</v>
      </c>
      <c r="E364">
        <v>2024</v>
      </c>
      <c r="F364">
        <v>4985980</v>
      </c>
      <c r="G364">
        <v>1.47E-2</v>
      </c>
      <c r="H364">
        <v>73293.91</v>
      </c>
      <c r="I364" s="9" t="s">
        <v>1370</v>
      </c>
      <c r="J364" s="9" t="s">
        <v>1371</v>
      </c>
      <c r="K364" s="9" t="s">
        <v>95</v>
      </c>
      <c r="L364">
        <v>4737572</v>
      </c>
      <c r="M364" s="8">
        <v>45017</v>
      </c>
      <c r="N364" s="9" t="s">
        <v>77</v>
      </c>
      <c r="O364">
        <v>1.47E-2</v>
      </c>
      <c r="P364">
        <v>1</v>
      </c>
      <c r="Q364" s="9" t="s">
        <v>1824</v>
      </c>
      <c r="R364" s="9" t="s">
        <v>1838</v>
      </c>
      <c r="S364" s="9" t="s">
        <v>1839</v>
      </c>
      <c r="T364" s="9" t="s">
        <v>1838</v>
      </c>
      <c r="U364" s="9" t="s">
        <v>1840</v>
      </c>
      <c r="V364" s="9" t="s">
        <v>1838</v>
      </c>
      <c r="W364" s="9" t="s">
        <v>1838</v>
      </c>
      <c r="X364" s="9" t="s">
        <v>1838</v>
      </c>
      <c r="Y364" s="9" t="s">
        <v>1841</v>
      </c>
      <c r="Z364">
        <v>4842179.1619999995</v>
      </c>
      <c r="AA364">
        <v>12553041.036323847</v>
      </c>
      <c r="AB364" s="9" t="s">
        <v>1850</v>
      </c>
      <c r="AC364" s="9" t="s">
        <v>1838</v>
      </c>
    </row>
    <row r="365" spans="1:29">
      <c r="A365" s="9" t="s">
        <v>1372</v>
      </c>
      <c r="B365" s="9" t="s">
        <v>87</v>
      </c>
      <c r="C365" s="9" t="s">
        <v>88</v>
      </c>
      <c r="D365" s="9" t="s">
        <v>51</v>
      </c>
      <c r="E365">
        <v>2022</v>
      </c>
      <c r="F365">
        <v>429876</v>
      </c>
      <c r="G365">
        <v>1.2500000000000001E-2</v>
      </c>
      <c r="H365">
        <v>5373.45</v>
      </c>
      <c r="I365" s="9" t="s">
        <v>1373</v>
      </c>
      <c r="J365" s="9" t="s">
        <v>1374</v>
      </c>
      <c r="K365" s="9" t="s">
        <v>178</v>
      </c>
      <c r="L365">
        <v>505673</v>
      </c>
      <c r="M365" s="8">
        <v>45105</v>
      </c>
      <c r="N365" s="9" t="s">
        <v>88</v>
      </c>
      <c r="O365">
        <v>1.2500000000000001E-2</v>
      </c>
      <c r="P365">
        <v>1</v>
      </c>
      <c r="Q365" s="9" t="s">
        <v>1820</v>
      </c>
      <c r="R365" s="9" t="s">
        <v>1838</v>
      </c>
      <c r="S365" s="9" t="s">
        <v>1839</v>
      </c>
      <c r="T365" s="9" t="s">
        <v>1838</v>
      </c>
      <c r="U365" s="9" t="s">
        <v>1840</v>
      </c>
      <c r="V365" s="9" t="s">
        <v>1838</v>
      </c>
      <c r="W365" s="9" t="s">
        <v>1838</v>
      </c>
      <c r="X365" s="9" t="s">
        <v>1838</v>
      </c>
      <c r="Y365" s="9" t="s">
        <v>1841</v>
      </c>
      <c r="Z365">
        <v>4842179.1619999995</v>
      </c>
      <c r="AA365">
        <v>12553041.036323847</v>
      </c>
      <c r="AB365" s="9" t="s">
        <v>1850</v>
      </c>
      <c r="AC365" s="9" t="s">
        <v>1838</v>
      </c>
    </row>
    <row r="366" spans="1:29">
      <c r="A366" s="9" t="s">
        <v>1375</v>
      </c>
      <c r="B366" s="9" t="s">
        <v>150</v>
      </c>
      <c r="C366" s="9" t="s">
        <v>151</v>
      </c>
      <c r="D366" s="9" t="s">
        <v>58</v>
      </c>
      <c r="E366">
        <v>2024</v>
      </c>
      <c r="F366">
        <v>4062571</v>
      </c>
      <c r="G366">
        <v>9.2999999999999992E-3</v>
      </c>
      <c r="H366">
        <v>37861.910000000003</v>
      </c>
      <c r="I366" s="9" t="s">
        <v>1376</v>
      </c>
      <c r="J366" s="9" t="s">
        <v>1377</v>
      </c>
      <c r="K366" s="9" t="s">
        <v>291</v>
      </c>
      <c r="L366">
        <v>5038504</v>
      </c>
      <c r="M366" s="8">
        <v>44980</v>
      </c>
      <c r="N366" s="9" t="s">
        <v>151</v>
      </c>
      <c r="O366">
        <v>9.2999999999999992E-3</v>
      </c>
      <c r="P366">
        <v>1</v>
      </c>
      <c r="Q366" s="9" t="s">
        <v>1823</v>
      </c>
      <c r="R366" s="9" t="s">
        <v>1838</v>
      </c>
      <c r="S366" s="9" t="s">
        <v>1839</v>
      </c>
      <c r="T366" s="9" t="s">
        <v>1845</v>
      </c>
      <c r="U366" s="9" t="s">
        <v>1840</v>
      </c>
      <c r="V366" s="9" t="s">
        <v>1838</v>
      </c>
      <c r="W366" s="9" t="s">
        <v>1838</v>
      </c>
      <c r="X366" s="9" t="s">
        <v>1838</v>
      </c>
      <c r="Y366" s="9" t="s">
        <v>1841</v>
      </c>
      <c r="Z366">
        <v>4842179.1619999995</v>
      </c>
      <c r="AA366">
        <v>12553041.036323847</v>
      </c>
      <c r="AB366" s="9" t="s">
        <v>1850</v>
      </c>
      <c r="AC366" s="9" t="s">
        <v>1843</v>
      </c>
    </row>
    <row r="367" spans="1:29">
      <c r="A367" s="9" t="s">
        <v>1378</v>
      </c>
      <c r="B367" s="9" t="s">
        <v>87</v>
      </c>
      <c r="C367" s="9" t="s">
        <v>88</v>
      </c>
      <c r="D367" s="9" t="s">
        <v>71</v>
      </c>
      <c r="E367">
        <v>2022</v>
      </c>
      <c r="F367">
        <v>3636516</v>
      </c>
      <c r="G367">
        <v>1.8499999999999999E-2</v>
      </c>
      <c r="H367">
        <v>67275.55</v>
      </c>
      <c r="I367" s="9" t="s">
        <v>1379</v>
      </c>
      <c r="J367" s="9" t="s">
        <v>1380</v>
      </c>
      <c r="K367" s="9" t="s">
        <v>217</v>
      </c>
      <c r="L367">
        <v>4303157</v>
      </c>
      <c r="M367" s="8">
        <v>45680</v>
      </c>
      <c r="N367" s="9" t="s">
        <v>88</v>
      </c>
      <c r="O367">
        <v>1.8499999999999999E-2</v>
      </c>
      <c r="P367">
        <v>1</v>
      </c>
      <c r="Q367" s="9" t="s">
        <v>1822</v>
      </c>
      <c r="R367" s="9" t="s">
        <v>1838</v>
      </c>
      <c r="S367" s="9" t="s">
        <v>1839</v>
      </c>
      <c r="T367" s="9" t="s">
        <v>1838</v>
      </c>
      <c r="U367" s="9" t="s">
        <v>1840</v>
      </c>
      <c r="V367" s="9" t="s">
        <v>1838</v>
      </c>
      <c r="W367" s="9" t="s">
        <v>1838</v>
      </c>
      <c r="X367" s="9" t="s">
        <v>1838</v>
      </c>
      <c r="Y367" s="9" t="s">
        <v>1841</v>
      </c>
      <c r="Z367">
        <v>4842179.1619999995</v>
      </c>
      <c r="AA367">
        <v>12553041.036323847</v>
      </c>
      <c r="AB367" s="9" t="s">
        <v>1850</v>
      </c>
      <c r="AC367" s="9" t="s">
        <v>1838</v>
      </c>
    </row>
    <row r="368" spans="1:29">
      <c r="A368" s="9" t="s">
        <v>1381</v>
      </c>
      <c r="B368" s="9" t="s">
        <v>56</v>
      </c>
      <c r="C368" s="9" t="s">
        <v>57</v>
      </c>
      <c r="D368" s="9" t="s">
        <v>51</v>
      </c>
      <c r="E368">
        <v>2021</v>
      </c>
      <c r="F368">
        <v>1400657</v>
      </c>
      <c r="G368">
        <v>1.24E-2</v>
      </c>
      <c r="H368">
        <v>17368.150000000001</v>
      </c>
      <c r="I368" s="9" t="s">
        <v>1382</v>
      </c>
      <c r="J368" s="9" t="s">
        <v>1383</v>
      </c>
      <c r="K368" s="9" t="s">
        <v>1101</v>
      </c>
      <c r="L368">
        <v>1606723</v>
      </c>
      <c r="M368" s="8">
        <v>46748</v>
      </c>
      <c r="N368" s="9" t="s">
        <v>57</v>
      </c>
      <c r="O368">
        <v>1.24E-2</v>
      </c>
      <c r="P368">
        <v>1</v>
      </c>
      <c r="Q368" s="9" t="s">
        <v>1820</v>
      </c>
      <c r="R368" s="9" t="s">
        <v>1838</v>
      </c>
      <c r="S368" s="9" t="s">
        <v>1839</v>
      </c>
      <c r="T368" s="9" t="s">
        <v>1838</v>
      </c>
      <c r="U368" s="9" t="s">
        <v>1840</v>
      </c>
      <c r="V368" s="9" t="s">
        <v>1838</v>
      </c>
      <c r="W368" s="9" t="s">
        <v>1838</v>
      </c>
      <c r="X368" s="9" t="s">
        <v>1842</v>
      </c>
      <c r="Y368" s="9" t="s">
        <v>1841</v>
      </c>
      <c r="Z368">
        <v>4842179.1619999995</v>
      </c>
      <c r="AA368">
        <v>12553041.036323847</v>
      </c>
      <c r="AB368" s="9" t="s">
        <v>1850</v>
      </c>
      <c r="AC368" s="9" t="s">
        <v>1843</v>
      </c>
    </row>
    <row r="369" spans="1:29">
      <c r="A369" s="9" t="s">
        <v>1384</v>
      </c>
      <c r="B369" s="9" t="s">
        <v>69</v>
      </c>
      <c r="C369" s="9" t="s">
        <v>70</v>
      </c>
      <c r="D369" s="9" t="s">
        <v>97</v>
      </c>
      <c r="E369">
        <v>2023</v>
      </c>
      <c r="F369">
        <v>3414233</v>
      </c>
      <c r="G369">
        <v>2.06E-2</v>
      </c>
      <c r="H369">
        <v>70333.2</v>
      </c>
      <c r="I369" s="9" t="s">
        <v>1385</v>
      </c>
      <c r="J369" s="9" t="s">
        <v>1386</v>
      </c>
      <c r="K369" s="9" t="s">
        <v>1387</v>
      </c>
      <c r="L369">
        <v>3663956</v>
      </c>
      <c r="M369" s="8">
        <v>44604</v>
      </c>
      <c r="N369" s="9" t="s">
        <v>70</v>
      </c>
      <c r="O369">
        <v>2.06E-2</v>
      </c>
      <c r="P369">
        <v>1</v>
      </c>
      <c r="Q369" s="9" t="s">
        <v>1821</v>
      </c>
      <c r="R369" s="9" t="s">
        <v>1838</v>
      </c>
      <c r="S369" s="9" t="s">
        <v>1839</v>
      </c>
      <c r="T369" s="9" t="s">
        <v>1838</v>
      </c>
      <c r="U369" s="9" t="s">
        <v>1840</v>
      </c>
      <c r="V369" s="9" t="s">
        <v>1838</v>
      </c>
      <c r="W369" s="9" t="s">
        <v>1838</v>
      </c>
      <c r="X369" s="9" t="s">
        <v>1838</v>
      </c>
      <c r="Y369" s="9" t="s">
        <v>1841</v>
      </c>
      <c r="Z369">
        <v>4842179.1619999995</v>
      </c>
      <c r="AA369">
        <v>12553041.036323847</v>
      </c>
      <c r="AB369" s="9" t="s">
        <v>1850</v>
      </c>
      <c r="AC369" s="9" t="s">
        <v>1838</v>
      </c>
    </row>
    <row r="370" spans="1:29">
      <c r="A370" s="9" t="s">
        <v>1388</v>
      </c>
      <c r="B370" s="9" t="s">
        <v>87</v>
      </c>
      <c r="C370" s="9" t="s">
        <v>88</v>
      </c>
      <c r="D370" s="9" t="s">
        <v>71</v>
      </c>
      <c r="E370">
        <v>2023</v>
      </c>
      <c r="F370">
        <v>3743538</v>
      </c>
      <c r="G370">
        <v>1.8499999999999999E-2</v>
      </c>
      <c r="H370">
        <v>69255.45</v>
      </c>
      <c r="I370" s="9" t="s">
        <v>1389</v>
      </c>
      <c r="J370" s="9" t="s">
        <v>550</v>
      </c>
      <c r="K370" s="9" t="s">
        <v>1390</v>
      </c>
      <c r="L370">
        <v>3829431</v>
      </c>
      <c r="M370" s="8">
        <v>45185</v>
      </c>
      <c r="N370" s="9" t="s">
        <v>88</v>
      </c>
      <c r="O370">
        <v>1.8499999999999999E-2</v>
      </c>
      <c r="P370">
        <v>1</v>
      </c>
      <c r="Q370" s="9" t="s">
        <v>1822</v>
      </c>
      <c r="R370" s="9" t="s">
        <v>1838</v>
      </c>
      <c r="S370" s="9" t="s">
        <v>1839</v>
      </c>
      <c r="T370" s="9" t="s">
        <v>1838</v>
      </c>
      <c r="U370" s="9" t="s">
        <v>1840</v>
      </c>
      <c r="V370" s="9" t="s">
        <v>1842</v>
      </c>
      <c r="W370" s="9" t="s">
        <v>1838</v>
      </c>
      <c r="X370" s="9" t="s">
        <v>1838</v>
      </c>
      <c r="Y370" s="9" t="s">
        <v>1841</v>
      </c>
      <c r="Z370">
        <v>4842179.1619999995</v>
      </c>
      <c r="AA370">
        <v>12553041.036323847</v>
      </c>
      <c r="AB370" s="9" t="s">
        <v>1850</v>
      </c>
      <c r="AC370" s="9" t="s">
        <v>1843</v>
      </c>
    </row>
    <row r="371" spans="1:29">
      <c r="A371" s="9" t="s">
        <v>1391</v>
      </c>
      <c r="B371" s="9" t="s">
        <v>76</v>
      </c>
      <c r="C371" s="9" t="s">
        <v>77</v>
      </c>
      <c r="D371" s="9" t="s">
        <v>97</v>
      </c>
      <c r="E371">
        <v>2022</v>
      </c>
      <c r="F371">
        <v>3123006</v>
      </c>
      <c r="G371">
        <v>2.0400000000000001E-2</v>
      </c>
      <c r="H371">
        <v>63709.32</v>
      </c>
      <c r="I371" s="9" t="s">
        <v>1392</v>
      </c>
      <c r="J371" s="9" t="s">
        <v>1393</v>
      </c>
      <c r="K371" s="9" t="s">
        <v>1027</v>
      </c>
      <c r="L371">
        <v>2833006</v>
      </c>
      <c r="M371" s="8">
        <v>46729</v>
      </c>
      <c r="N371" s="9" t="s">
        <v>77</v>
      </c>
      <c r="O371">
        <v>2.0400000000000001E-2</v>
      </c>
      <c r="P371">
        <v>1</v>
      </c>
      <c r="Q371" s="9" t="s">
        <v>1821</v>
      </c>
      <c r="R371" s="9" t="s">
        <v>1838</v>
      </c>
      <c r="S371" s="9" t="s">
        <v>1839</v>
      </c>
      <c r="T371" s="9" t="s">
        <v>1838</v>
      </c>
      <c r="U371" s="9" t="s">
        <v>1840</v>
      </c>
      <c r="V371" s="9" t="s">
        <v>1838</v>
      </c>
      <c r="W371" s="9" t="s">
        <v>1838</v>
      </c>
      <c r="X371" s="9" t="s">
        <v>1842</v>
      </c>
      <c r="Y371" s="9" t="s">
        <v>1841</v>
      </c>
      <c r="Z371">
        <v>4842179.1619999995</v>
      </c>
      <c r="AA371">
        <v>12553041.036323847</v>
      </c>
      <c r="AB371" s="9" t="s">
        <v>1850</v>
      </c>
      <c r="AC371" s="9" t="s">
        <v>1843</v>
      </c>
    </row>
    <row r="372" spans="1:29">
      <c r="A372" s="9" t="s">
        <v>1394</v>
      </c>
      <c r="B372" s="9" t="s">
        <v>87</v>
      </c>
      <c r="C372" s="9" t="s">
        <v>88</v>
      </c>
      <c r="D372" s="9" t="s">
        <v>51</v>
      </c>
      <c r="E372">
        <v>2023</v>
      </c>
      <c r="F372">
        <v>686886</v>
      </c>
      <c r="G372">
        <v>1.2500000000000001E-2</v>
      </c>
      <c r="H372">
        <v>8586.08</v>
      </c>
      <c r="I372" s="9" t="s">
        <v>1395</v>
      </c>
      <c r="J372" s="9" t="s">
        <v>1396</v>
      </c>
      <c r="K372" s="9" t="s">
        <v>1397</v>
      </c>
      <c r="L372">
        <v>851258</v>
      </c>
      <c r="M372" s="8">
        <v>46510</v>
      </c>
      <c r="N372" s="9" t="s">
        <v>88</v>
      </c>
      <c r="O372">
        <v>1.2500000000000001E-2</v>
      </c>
      <c r="P372">
        <v>1</v>
      </c>
      <c r="Q372" s="9" t="s">
        <v>1820</v>
      </c>
      <c r="R372" s="9" t="s">
        <v>1838</v>
      </c>
      <c r="S372" s="9" t="s">
        <v>1839</v>
      </c>
      <c r="T372" s="9" t="s">
        <v>1838</v>
      </c>
      <c r="U372" s="9" t="s">
        <v>1840</v>
      </c>
      <c r="V372" s="9" t="s">
        <v>1838</v>
      </c>
      <c r="W372" s="9" t="s">
        <v>1838</v>
      </c>
      <c r="X372" s="9" t="s">
        <v>1842</v>
      </c>
      <c r="Y372" s="9" t="s">
        <v>1841</v>
      </c>
      <c r="Z372">
        <v>4842179.1619999995</v>
      </c>
      <c r="AA372">
        <v>12553041.036323847</v>
      </c>
      <c r="AB372" s="9" t="s">
        <v>1850</v>
      </c>
      <c r="AC372" s="9" t="s">
        <v>1843</v>
      </c>
    </row>
    <row r="373" spans="1:29">
      <c r="A373" s="9" t="s">
        <v>1398</v>
      </c>
      <c r="B373" s="9" t="s">
        <v>101</v>
      </c>
      <c r="C373" s="9" t="s">
        <v>102</v>
      </c>
      <c r="D373" s="9" t="s">
        <v>51</v>
      </c>
      <c r="E373">
        <v>2022</v>
      </c>
      <c r="F373">
        <v>629049</v>
      </c>
      <c r="G373">
        <v>1.29E-2</v>
      </c>
      <c r="H373">
        <v>8114.73</v>
      </c>
      <c r="I373" s="9" t="s">
        <v>1399</v>
      </c>
      <c r="J373" s="9" t="s">
        <v>1400</v>
      </c>
      <c r="K373" s="9" t="s">
        <v>1401</v>
      </c>
      <c r="L373">
        <v>660179</v>
      </c>
      <c r="M373" s="8">
        <v>44888</v>
      </c>
      <c r="N373" s="9" t="s">
        <v>102</v>
      </c>
      <c r="O373">
        <v>1.29E-2</v>
      </c>
      <c r="P373">
        <v>1</v>
      </c>
      <c r="Q373" s="9" t="s">
        <v>1820</v>
      </c>
      <c r="R373" s="9" t="s">
        <v>1838</v>
      </c>
      <c r="S373" s="9" t="s">
        <v>1839</v>
      </c>
      <c r="T373" s="9" t="s">
        <v>1838</v>
      </c>
      <c r="U373" s="9" t="s">
        <v>1840</v>
      </c>
      <c r="V373" s="9" t="s">
        <v>1838</v>
      </c>
      <c r="W373" s="9" t="s">
        <v>1838</v>
      </c>
      <c r="X373" s="9" t="s">
        <v>1838</v>
      </c>
      <c r="Y373" s="9" t="s">
        <v>1841</v>
      </c>
      <c r="Z373">
        <v>4842179.1619999995</v>
      </c>
      <c r="AA373">
        <v>12553041.036323847</v>
      </c>
      <c r="AB373" s="9" t="s">
        <v>1850</v>
      </c>
      <c r="AC373" s="9" t="s">
        <v>1838</v>
      </c>
    </row>
    <row r="374" spans="1:29">
      <c r="A374" s="9" t="s">
        <v>1402</v>
      </c>
      <c r="B374" s="9" t="s">
        <v>49</v>
      </c>
      <c r="C374" s="9" t="s">
        <v>50</v>
      </c>
      <c r="D374" s="9" t="s">
        <v>71</v>
      </c>
      <c r="E374">
        <v>2023</v>
      </c>
      <c r="F374">
        <v>4457426</v>
      </c>
      <c r="G374">
        <v>1.8100000000000002E-2</v>
      </c>
      <c r="H374">
        <v>80679.41</v>
      </c>
      <c r="I374" s="9" t="s">
        <v>1403</v>
      </c>
      <c r="J374" s="9" t="s">
        <v>1404</v>
      </c>
      <c r="K374" s="9" t="s">
        <v>973</v>
      </c>
      <c r="L374">
        <v>4343911</v>
      </c>
      <c r="M374" s="8">
        <v>45518</v>
      </c>
      <c r="N374" s="9" t="s">
        <v>50</v>
      </c>
      <c r="O374">
        <v>1.8100000000000002E-2</v>
      </c>
      <c r="P374">
        <v>1</v>
      </c>
      <c r="Q374" s="9" t="s">
        <v>1822</v>
      </c>
      <c r="R374" s="9" t="s">
        <v>1838</v>
      </c>
      <c r="S374" s="9" t="s">
        <v>1839</v>
      </c>
      <c r="T374" s="9" t="s">
        <v>1838</v>
      </c>
      <c r="U374" s="9" t="s">
        <v>1840</v>
      </c>
      <c r="V374" s="9" t="s">
        <v>1838</v>
      </c>
      <c r="W374" s="9" t="s">
        <v>1838</v>
      </c>
      <c r="X374" s="9" t="s">
        <v>1838</v>
      </c>
      <c r="Y374" s="9" t="s">
        <v>1841</v>
      </c>
      <c r="Z374">
        <v>4842179.1619999995</v>
      </c>
      <c r="AA374">
        <v>12553041.036323847</v>
      </c>
      <c r="AB374" s="9" t="s">
        <v>1850</v>
      </c>
      <c r="AC374" s="9" t="s">
        <v>1838</v>
      </c>
    </row>
    <row r="375" spans="1:29">
      <c r="A375" s="9" t="s">
        <v>1405</v>
      </c>
      <c r="B375" s="9" t="s">
        <v>101</v>
      </c>
      <c r="C375" s="9" t="s">
        <v>102</v>
      </c>
      <c r="D375" s="9" t="s">
        <v>71</v>
      </c>
      <c r="E375">
        <v>2024</v>
      </c>
      <c r="F375">
        <v>9439273</v>
      </c>
      <c r="G375">
        <v>1.89E-2</v>
      </c>
      <c r="H375">
        <v>178402.26</v>
      </c>
      <c r="I375" s="9" t="s">
        <v>1406</v>
      </c>
      <c r="J375" s="9" t="s">
        <v>1407</v>
      </c>
      <c r="K375" s="9" t="s">
        <v>631</v>
      </c>
      <c r="L375">
        <v>9167850</v>
      </c>
      <c r="M375" s="8">
        <v>45041</v>
      </c>
      <c r="N375" s="9" t="s">
        <v>102</v>
      </c>
      <c r="O375">
        <v>1.89E-2</v>
      </c>
      <c r="P375">
        <v>1</v>
      </c>
      <c r="Q375" s="9" t="s">
        <v>1822</v>
      </c>
      <c r="R375" s="9" t="s">
        <v>1838</v>
      </c>
      <c r="S375" s="9" t="s">
        <v>1839</v>
      </c>
      <c r="T375" s="9" t="s">
        <v>1838</v>
      </c>
      <c r="U375" s="9" t="s">
        <v>1840</v>
      </c>
      <c r="V375" s="9" t="s">
        <v>1838</v>
      </c>
      <c r="W375" s="9" t="s">
        <v>1838</v>
      </c>
      <c r="X375" s="9" t="s">
        <v>1838</v>
      </c>
      <c r="Y375" s="9" t="s">
        <v>1841</v>
      </c>
      <c r="Z375">
        <v>4842179.1619999995</v>
      </c>
      <c r="AA375">
        <v>12553041.036323847</v>
      </c>
      <c r="AB375" s="9" t="s">
        <v>1850</v>
      </c>
      <c r="AC375" s="9" t="s">
        <v>1838</v>
      </c>
    </row>
    <row r="376" spans="1:29">
      <c r="A376" s="9" t="s">
        <v>1408</v>
      </c>
      <c r="B376" s="9" t="s">
        <v>137</v>
      </c>
      <c r="C376" s="9" t="s">
        <v>138</v>
      </c>
      <c r="D376" s="9" t="s">
        <v>71</v>
      </c>
      <c r="E376">
        <v>2022</v>
      </c>
      <c r="F376">
        <v>30046366</v>
      </c>
      <c r="G376">
        <v>1.8700000000000001E-2</v>
      </c>
      <c r="H376">
        <v>62892.959999999999</v>
      </c>
      <c r="I376" s="9" t="s">
        <v>1409</v>
      </c>
      <c r="J376" s="9" t="s">
        <v>1410</v>
      </c>
      <c r="K376" s="9" t="s">
        <v>1411</v>
      </c>
      <c r="L376">
        <v>3214521</v>
      </c>
      <c r="M376" s="8">
        <v>44024</v>
      </c>
      <c r="N376" s="9" t="s">
        <v>138</v>
      </c>
      <c r="O376">
        <v>1.8700000000000001E-2</v>
      </c>
      <c r="P376">
        <v>1</v>
      </c>
      <c r="Q376" s="9" t="s">
        <v>1822</v>
      </c>
      <c r="R376" s="9" t="s">
        <v>1838</v>
      </c>
      <c r="S376" s="9" t="s">
        <v>1839</v>
      </c>
      <c r="T376" s="9" t="s">
        <v>1845</v>
      </c>
      <c r="U376" s="9" t="s">
        <v>1840</v>
      </c>
      <c r="V376" s="9" t="s">
        <v>1838</v>
      </c>
      <c r="W376" s="9" t="s">
        <v>1838</v>
      </c>
      <c r="X376" s="9" t="s">
        <v>1838</v>
      </c>
      <c r="Y376" s="9" t="s">
        <v>1841</v>
      </c>
      <c r="Z376">
        <v>4842179.1619999995</v>
      </c>
      <c r="AA376">
        <v>12553041.036323847</v>
      </c>
      <c r="AB376" s="9" t="s">
        <v>1850</v>
      </c>
      <c r="AC376" s="9" t="s">
        <v>1843</v>
      </c>
    </row>
    <row r="377" spans="1:29">
      <c r="A377" s="9" t="s">
        <v>1412</v>
      </c>
      <c r="B377" s="9" t="s">
        <v>63</v>
      </c>
      <c r="C377" s="9" t="s">
        <v>64</v>
      </c>
      <c r="D377" s="9" t="s">
        <v>71</v>
      </c>
      <c r="E377">
        <v>2023</v>
      </c>
      <c r="F377">
        <v>6148320</v>
      </c>
      <c r="G377">
        <v>1.8499999999999999E-2</v>
      </c>
      <c r="H377">
        <v>113743.92</v>
      </c>
      <c r="I377" s="9" t="s">
        <v>1413</v>
      </c>
      <c r="J377" s="9" t="s">
        <v>1414</v>
      </c>
      <c r="K377" s="9" t="s">
        <v>710</v>
      </c>
      <c r="L377">
        <v>6978867</v>
      </c>
      <c r="M377" s="8">
        <v>45644</v>
      </c>
      <c r="N377" s="9" t="s">
        <v>64</v>
      </c>
      <c r="O377">
        <v>1.8499999999999999E-2</v>
      </c>
      <c r="P377">
        <v>1</v>
      </c>
      <c r="Q377" s="9" t="s">
        <v>1822</v>
      </c>
      <c r="R377" s="9" t="s">
        <v>1838</v>
      </c>
      <c r="S377" s="9" t="s">
        <v>1839</v>
      </c>
      <c r="T377" s="9" t="s">
        <v>1838</v>
      </c>
      <c r="U377" s="9" t="s">
        <v>1840</v>
      </c>
      <c r="V377" s="9" t="s">
        <v>1838</v>
      </c>
      <c r="W377" s="9" t="s">
        <v>1838</v>
      </c>
      <c r="X377" s="9" t="s">
        <v>1838</v>
      </c>
      <c r="Y377" s="9" t="s">
        <v>1841</v>
      </c>
      <c r="Z377">
        <v>4842179.1619999995</v>
      </c>
      <c r="AA377">
        <v>12553041.036323847</v>
      </c>
      <c r="AB377" s="9" t="s">
        <v>1850</v>
      </c>
      <c r="AC377" s="9" t="s">
        <v>1838</v>
      </c>
    </row>
    <row r="378" spans="1:29">
      <c r="A378" s="9" t="s">
        <v>1415</v>
      </c>
      <c r="B378" s="9" t="s">
        <v>49</v>
      </c>
      <c r="C378" s="9" t="s">
        <v>50</v>
      </c>
      <c r="D378" s="9" t="s">
        <v>58</v>
      </c>
      <c r="E378">
        <v>2022</v>
      </c>
      <c r="F378">
        <v>1077125</v>
      </c>
      <c r="G378">
        <v>9.1000000000000004E-3</v>
      </c>
      <c r="H378">
        <v>9801.84</v>
      </c>
      <c r="I378" s="9" t="s">
        <v>1416</v>
      </c>
      <c r="J378" s="9" t="s">
        <v>1417</v>
      </c>
      <c r="K378" s="9" t="s">
        <v>1418</v>
      </c>
      <c r="L378">
        <v>1283197</v>
      </c>
      <c r="M378" s="8">
        <v>45063</v>
      </c>
      <c r="N378" s="9" t="s">
        <v>50</v>
      </c>
      <c r="O378">
        <v>9.1000000000000004E-3</v>
      </c>
      <c r="P378">
        <v>1</v>
      </c>
      <c r="Q378" s="9" t="s">
        <v>1823</v>
      </c>
      <c r="R378" s="9" t="s">
        <v>1838</v>
      </c>
      <c r="S378" s="9" t="s">
        <v>1839</v>
      </c>
      <c r="T378" s="9" t="s">
        <v>1838</v>
      </c>
      <c r="U378" s="9" t="s">
        <v>1840</v>
      </c>
      <c r="V378" s="9" t="s">
        <v>1838</v>
      </c>
      <c r="W378" s="9" t="s">
        <v>1838</v>
      </c>
      <c r="X378" s="9" t="s">
        <v>1838</v>
      </c>
      <c r="Y378" s="9" t="s">
        <v>1841</v>
      </c>
      <c r="Z378">
        <v>4842179.1619999995</v>
      </c>
      <c r="AA378">
        <v>12553041.036323847</v>
      </c>
      <c r="AB378" s="9" t="s">
        <v>1850</v>
      </c>
      <c r="AC378" s="9" t="s">
        <v>1838</v>
      </c>
    </row>
    <row r="379" spans="1:29">
      <c r="A379" s="9" t="s">
        <v>1419</v>
      </c>
      <c r="B379" s="9" t="s">
        <v>76</v>
      </c>
      <c r="C379" s="9" t="s">
        <v>77</v>
      </c>
      <c r="D379" s="9" t="s">
        <v>58</v>
      </c>
      <c r="E379">
        <v>2022</v>
      </c>
      <c r="F379">
        <v>872767</v>
      </c>
      <c r="G379">
        <v>9.4000000000000004E-3</v>
      </c>
      <c r="H379">
        <v>8204.01</v>
      </c>
      <c r="I379" s="9" t="s">
        <v>1420</v>
      </c>
      <c r="J379" s="9" t="s">
        <v>1421</v>
      </c>
      <c r="K379" s="9" t="s">
        <v>1422</v>
      </c>
      <c r="L379">
        <v>860741</v>
      </c>
      <c r="M379" s="8">
        <v>44603</v>
      </c>
      <c r="N379" s="9" t="s">
        <v>77</v>
      </c>
      <c r="O379">
        <v>9.4000000000000004E-3</v>
      </c>
      <c r="P379">
        <v>1</v>
      </c>
      <c r="Q379" s="9" t="s">
        <v>1823</v>
      </c>
      <c r="R379" s="9" t="s">
        <v>1838</v>
      </c>
      <c r="S379" s="9" t="s">
        <v>1839</v>
      </c>
      <c r="T379" s="9" t="s">
        <v>1838</v>
      </c>
      <c r="U379" s="9" t="s">
        <v>1840</v>
      </c>
      <c r="V379" s="9" t="s">
        <v>1838</v>
      </c>
      <c r="W379" s="9" t="s">
        <v>1838</v>
      </c>
      <c r="X379" s="9" t="s">
        <v>1838</v>
      </c>
      <c r="Y379" s="9" t="s">
        <v>1841</v>
      </c>
      <c r="Z379">
        <v>4842179.1619999995</v>
      </c>
      <c r="AA379">
        <v>12553041.036323847</v>
      </c>
      <c r="AB379" s="9" t="s">
        <v>1850</v>
      </c>
      <c r="AC379" s="9" t="s">
        <v>1838</v>
      </c>
    </row>
    <row r="380" spans="1:29">
      <c r="A380" s="9" t="s">
        <v>1423</v>
      </c>
      <c r="B380" s="9" t="s">
        <v>131</v>
      </c>
      <c r="C380" s="9" t="s">
        <v>132</v>
      </c>
      <c r="D380" s="9" t="s">
        <v>71</v>
      </c>
      <c r="E380">
        <v>2024</v>
      </c>
      <c r="F380">
        <v>6659226</v>
      </c>
      <c r="G380">
        <v>1.8800000000000001E-2</v>
      </c>
      <c r="H380">
        <v>125193.45</v>
      </c>
      <c r="I380" s="9" t="s">
        <v>1424</v>
      </c>
      <c r="J380" s="9" t="s">
        <v>1425</v>
      </c>
      <c r="K380" s="9" t="s">
        <v>1426</v>
      </c>
      <c r="L380">
        <v>7886439</v>
      </c>
      <c r="M380" s="8">
        <v>44446</v>
      </c>
      <c r="N380" s="9" t="s">
        <v>132</v>
      </c>
      <c r="O380">
        <v>1.8800000000000001E-2</v>
      </c>
      <c r="P380">
        <v>1</v>
      </c>
      <c r="Q380" s="9" t="s">
        <v>1822</v>
      </c>
      <c r="R380" s="9" t="s">
        <v>1838</v>
      </c>
      <c r="S380" s="9" t="s">
        <v>1839</v>
      </c>
      <c r="T380" s="9" t="s">
        <v>1838</v>
      </c>
      <c r="U380" s="9" t="s">
        <v>1840</v>
      </c>
      <c r="V380" s="9" t="s">
        <v>1838</v>
      </c>
      <c r="W380" s="9" t="s">
        <v>1838</v>
      </c>
      <c r="X380" s="9" t="s">
        <v>1838</v>
      </c>
      <c r="Y380" s="9" t="s">
        <v>1841</v>
      </c>
      <c r="Z380">
        <v>4842179.1619999995</v>
      </c>
      <c r="AA380">
        <v>12553041.036323847</v>
      </c>
      <c r="AB380" s="9" t="s">
        <v>1850</v>
      </c>
      <c r="AC380" s="9" t="s">
        <v>1838</v>
      </c>
    </row>
    <row r="381" spans="1:29">
      <c r="A381" s="9" t="s">
        <v>1427</v>
      </c>
      <c r="B381" s="9" t="s">
        <v>56</v>
      </c>
      <c r="C381" s="9" t="s">
        <v>57</v>
      </c>
      <c r="D381" s="9" t="s">
        <v>97</v>
      </c>
      <c r="E381">
        <v>2024</v>
      </c>
      <c r="F381">
        <v>2207486</v>
      </c>
      <c r="G381">
        <v>2.0400000000000001E-2</v>
      </c>
      <c r="H381">
        <v>45032.71</v>
      </c>
      <c r="I381" s="9" t="s">
        <v>1428</v>
      </c>
      <c r="J381" s="9" t="s">
        <v>1429</v>
      </c>
      <c r="K381" s="9" t="s">
        <v>965</v>
      </c>
      <c r="L381">
        <v>2596580</v>
      </c>
      <c r="M381" s="8">
        <v>44758</v>
      </c>
      <c r="N381" s="9" t="s">
        <v>57</v>
      </c>
      <c r="O381">
        <v>2.0400000000000001E-2</v>
      </c>
      <c r="P381">
        <v>1</v>
      </c>
      <c r="Q381" s="9" t="s">
        <v>1821</v>
      </c>
      <c r="R381" s="9" t="s">
        <v>1838</v>
      </c>
      <c r="S381" s="9" t="s">
        <v>1839</v>
      </c>
      <c r="T381" s="9" t="s">
        <v>1838</v>
      </c>
      <c r="U381" s="9" t="s">
        <v>1840</v>
      </c>
      <c r="V381" s="9" t="s">
        <v>1838</v>
      </c>
      <c r="W381" s="9" t="s">
        <v>1838</v>
      </c>
      <c r="X381" s="9" t="s">
        <v>1838</v>
      </c>
      <c r="Y381" s="9" t="s">
        <v>1841</v>
      </c>
      <c r="Z381">
        <v>4842179.1619999995</v>
      </c>
      <c r="AA381">
        <v>12553041.036323847</v>
      </c>
      <c r="AB381" s="9" t="s">
        <v>1850</v>
      </c>
      <c r="AC381" s="9" t="s">
        <v>1838</v>
      </c>
    </row>
    <row r="382" spans="1:29">
      <c r="A382" s="9" t="s">
        <v>1430</v>
      </c>
      <c r="B382" s="9" t="s">
        <v>49</v>
      </c>
      <c r="C382" s="9" t="s">
        <v>50</v>
      </c>
      <c r="D382" s="9" t="s">
        <v>58</v>
      </c>
      <c r="E382">
        <v>2024</v>
      </c>
      <c r="F382">
        <v>2491454</v>
      </c>
      <c r="G382">
        <v>9.1000000000000004E-3</v>
      </c>
      <c r="H382">
        <v>22672.23</v>
      </c>
      <c r="I382" s="9" t="s">
        <v>1431</v>
      </c>
      <c r="J382" s="9" t="s">
        <v>1432</v>
      </c>
      <c r="K382" s="9" t="s">
        <v>1105</v>
      </c>
      <c r="L382">
        <v>2527254</v>
      </c>
      <c r="M382" s="8">
        <v>45620</v>
      </c>
      <c r="N382" s="9" t="s">
        <v>50</v>
      </c>
      <c r="O382">
        <v>9.1000000000000004E-3</v>
      </c>
      <c r="P382">
        <v>1</v>
      </c>
      <c r="Q382" s="9" t="s">
        <v>1823</v>
      </c>
      <c r="R382" s="9" t="s">
        <v>1838</v>
      </c>
      <c r="S382" s="9" t="s">
        <v>1839</v>
      </c>
      <c r="T382" s="9" t="s">
        <v>1838</v>
      </c>
      <c r="U382" s="9" t="s">
        <v>1840</v>
      </c>
      <c r="V382" s="9" t="s">
        <v>1838</v>
      </c>
      <c r="W382" s="9" t="s">
        <v>1838</v>
      </c>
      <c r="X382" s="9" t="s">
        <v>1838</v>
      </c>
      <c r="Y382" s="9" t="s">
        <v>1841</v>
      </c>
      <c r="Z382">
        <v>4842179.1619999995</v>
      </c>
      <c r="AA382">
        <v>12553041.036323847</v>
      </c>
      <c r="AB382" s="9" t="s">
        <v>1850</v>
      </c>
      <c r="AC382" s="9" t="s">
        <v>1838</v>
      </c>
    </row>
    <row r="383" spans="1:29">
      <c r="A383" s="9" t="s">
        <v>1433</v>
      </c>
      <c r="B383" s="9" t="s">
        <v>63</v>
      </c>
      <c r="C383" s="9" t="s">
        <v>64</v>
      </c>
      <c r="D383" s="9" t="s">
        <v>51</v>
      </c>
      <c r="E383">
        <v>2022</v>
      </c>
      <c r="F383">
        <v>873136</v>
      </c>
      <c r="G383">
        <v>1.2500000000000001E-2</v>
      </c>
      <c r="H383">
        <v>10914.2</v>
      </c>
      <c r="I383" s="9" t="s">
        <v>1434</v>
      </c>
      <c r="J383" s="9" t="s">
        <v>1435</v>
      </c>
      <c r="K383" s="9" t="s">
        <v>80</v>
      </c>
      <c r="L383">
        <v>1028052</v>
      </c>
      <c r="M383" s="8">
        <v>44774</v>
      </c>
      <c r="N383" s="9" t="s">
        <v>64</v>
      </c>
      <c r="O383">
        <v>1.2500000000000001E-2</v>
      </c>
      <c r="P383">
        <v>1</v>
      </c>
      <c r="Q383" s="9" t="s">
        <v>1820</v>
      </c>
      <c r="R383" s="9" t="s">
        <v>1838</v>
      </c>
      <c r="S383" s="9" t="s">
        <v>1839</v>
      </c>
      <c r="T383" s="9" t="s">
        <v>1838</v>
      </c>
      <c r="U383" s="9" t="s">
        <v>1840</v>
      </c>
      <c r="V383" s="9" t="s">
        <v>1838</v>
      </c>
      <c r="W383" s="9" t="s">
        <v>1838</v>
      </c>
      <c r="X383" s="9" t="s">
        <v>1838</v>
      </c>
      <c r="Y383" s="9" t="s">
        <v>1841</v>
      </c>
      <c r="Z383">
        <v>4842179.1619999995</v>
      </c>
      <c r="AA383">
        <v>12553041.036323847</v>
      </c>
      <c r="AB383" s="9" t="s">
        <v>1850</v>
      </c>
      <c r="AC383" s="9" t="s">
        <v>1838</v>
      </c>
    </row>
    <row r="384" spans="1:29">
      <c r="A384" s="9" t="s">
        <v>1436</v>
      </c>
      <c r="B384" s="9" t="s">
        <v>101</v>
      </c>
      <c r="C384" s="9" t="s">
        <v>102</v>
      </c>
      <c r="D384" s="9" t="s">
        <v>58</v>
      </c>
      <c r="E384">
        <v>2022</v>
      </c>
      <c r="F384">
        <v>1132774</v>
      </c>
      <c r="G384">
        <v>9.9000000000000008E-3</v>
      </c>
      <c r="H384">
        <v>11214.46</v>
      </c>
      <c r="I384" s="9" t="s">
        <v>1437</v>
      </c>
      <c r="J384" s="9" t="s">
        <v>1438</v>
      </c>
      <c r="K384" s="9" t="s">
        <v>688</v>
      </c>
      <c r="L384">
        <v>1276056</v>
      </c>
      <c r="M384" s="8">
        <v>44402</v>
      </c>
      <c r="N384" s="9" t="s">
        <v>102</v>
      </c>
      <c r="O384">
        <v>9.9000000000000008E-3</v>
      </c>
      <c r="P384">
        <v>1</v>
      </c>
      <c r="Q384" s="9" t="s">
        <v>1823</v>
      </c>
      <c r="R384" s="9" t="s">
        <v>1838</v>
      </c>
      <c r="S384" s="9" t="s">
        <v>1839</v>
      </c>
      <c r="T384" s="9" t="s">
        <v>1838</v>
      </c>
      <c r="U384" s="9" t="s">
        <v>1840</v>
      </c>
      <c r="V384" s="9" t="s">
        <v>1838</v>
      </c>
      <c r="W384" s="9" t="s">
        <v>1838</v>
      </c>
      <c r="X384" s="9" t="s">
        <v>1838</v>
      </c>
      <c r="Y384" s="9" t="s">
        <v>1841</v>
      </c>
      <c r="Z384">
        <v>4842179.1619999995</v>
      </c>
      <c r="AA384">
        <v>12553041.036323847</v>
      </c>
      <c r="AB384" s="9" t="s">
        <v>1850</v>
      </c>
      <c r="AC384" s="9" t="s">
        <v>1838</v>
      </c>
    </row>
    <row r="385" spans="1:29">
      <c r="A385" s="9" t="s">
        <v>1439</v>
      </c>
      <c r="B385" s="9" t="s">
        <v>49</v>
      </c>
      <c r="C385" s="9" t="s">
        <v>50</v>
      </c>
      <c r="D385" s="9" t="s">
        <v>58</v>
      </c>
      <c r="E385">
        <v>2022</v>
      </c>
      <c r="F385">
        <v>1135287</v>
      </c>
      <c r="G385">
        <v>9.1000000000000004E-3</v>
      </c>
      <c r="H385">
        <v>10331.11</v>
      </c>
      <c r="I385" s="9" t="s">
        <v>1440</v>
      </c>
      <c r="J385" s="9" t="s">
        <v>1441</v>
      </c>
      <c r="K385" s="9" t="s">
        <v>1191</v>
      </c>
      <c r="L385">
        <v>1329053</v>
      </c>
      <c r="M385" s="8">
        <v>45324</v>
      </c>
      <c r="N385" s="9" t="s">
        <v>50</v>
      </c>
      <c r="O385">
        <v>9.1000000000000004E-3</v>
      </c>
      <c r="P385">
        <v>1</v>
      </c>
      <c r="Q385" s="9" t="s">
        <v>1823</v>
      </c>
      <c r="R385" s="9" t="s">
        <v>1838</v>
      </c>
      <c r="S385" s="9" t="s">
        <v>1839</v>
      </c>
      <c r="T385" s="9" t="s">
        <v>1838</v>
      </c>
      <c r="U385" s="9" t="s">
        <v>1840</v>
      </c>
      <c r="V385" s="9" t="s">
        <v>1838</v>
      </c>
      <c r="W385" s="9" t="s">
        <v>1838</v>
      </c>
      <c r="X385" s="9" t="s">
        <v>1838</v>
      </c>
      <c r="Y385" s="9" t="s">
        <v>1841</v>
      </c>
      <c r="Z385">
        <v>4842179.1619999995</v>
      </c>
      <c r="AA385">
        <v>12553041.036323847</v>
      </c>
      <c r="AB385" s="9" t="s">
        <v>1850</v>
      </c>
      <c r="AC385" s="9" t="s">
        <v>1838</v>
      </c>
    </row>
    <row r="386" spans="1:29">
      <c r="A386" s="9" t="s">
        <v>1442</v>
      </c>
      <c r="B386" s="9" t="s">
        <v>101</v>
      </c>
      <c r="C386" s="9" t="s">
        <v>102</v>
      </c>
      <c r="D386" s="9" t="s">
        <v>51</v>
      </c>
      <c r="E386">
        <v>2022</v>
      </c>
      <c r="F386">
        <v>948331</v>
      </c>
      <c r="G386">
        <v>1.29E-2</v>
      </c>
      <c r="H386">
        <v>12233.47</v>
      </c>
      <c r="I386" s="9" t="s">
        <v>1443</v>
      </c>
      <c r="J386" s="9" t="s">
        <v>1444</v>
      </c>
      <c r="K386" s="9" t="s">
        <v>1445</v>
      </c>
      <c r="L386">
        <v>913366</v>
      </c>
      <c r="M386" s="8">
        <v>44063</v>
      </c>
      <c r="N386" s="9" t="s">
        <v>102</v>
      </c>
      <c r="O386">
        <v>1.29E-2</v>
      </c>
      <c r="P386">
        <v>1</v>
      </c>
      <c r="Q386" s="9" t="s">
        <v>1820</v>
      </c>
      <c r="R386" s="9" t="s">
        <v>1838</v>
      </c>
      <c r="S386" s="9" t="s">
        <v>1839</v>
      </c>
      <c r="T386" s="9" t="s">
        <v>1838</v>
      </c>
      <c r="U386" s="9" t="s">
        <v>1840</v>
      </c>
      <c r="V386" s="9" t="s">
        <v>1838</v>
      </c>
      <c r="W386" s="9" t="s">
        <v>1838</v>
      </c>
      <c r="X386" s="9" t="s">
        <v>1838</v>
      </c>
      <c r="Y386" s="9" t="s">
        <v>1841</v>
      </c>
      <c r="Z386">
        <v>4842179.1619999995</v>
      </c>
      <c r="AA386">
        <v>12553041.036323847</v>
      </c>
      <c r="AB386" s="9" t="s">
        <v>1850</v>
      </c>
      <c r="AC386" s="9" t="s">
        <v>1838</v>
      </c>
    </row>
    <row r="387" spans="1:29">
      <c r="A387" s="9" t="s">
        <v>1446</v>
      </c>
      <c r="B387" s="9" t="s">
        <v>63</v>
      </c>
      <c r="C387" s="9" t="s">
        <v>64</v>
      </c>
      <c r="D387" s="9" t="s">
        <v>71</v>
      </c>
      <c r="E387">
        <v>2023</v>
      </c>
      <c r="F387">
        <v>3242370</v>
      </c>
      <c r="G387">
        <v>1.6500000000000001E-2</v>
      </c>
      <c r="H387">
        <v>59983.839999999997</v>
      </c>
      <c r="I387" s="9" t="s">
        <v>1447</v>
      </c>
      <c r="J387" s="9" t="s">
        <v>1448</v>
      </c>
      <c r="K387" s="9" t="s">
        <v>1449</v>
      </c>
      <c r="L387">
        <v>3727648</v>
      </c>
      <c r="M387" s="8">
        <v>45281</v>
      </c>
      <c r="N387" s="9" t="s">
        <v>64</v>
      </c>
      <c r="O387">
        <v>1.8499999999999999E-2</v>
      </c>
      <c r="P387">
        <v>1</v>
      </c>
      <c r="Q387" s="9" t="s">
        <v>1822</v>
      </c>
      <c r="R387" s="9" t="s">
        <v>1838</v>
      </c>
      <c r="S387" s="9" t="s">
        <v>1839</v>
      </c>
      <c r="T387" s="9" t="s">
        <v>1838</v>
      </c>
      <c r="U387" s="9" t="s">
        <v>1840</v>
      </c>
      <c r="V387" s="9" t="s">
        <v>1838</v>
      </c>
      <c r="W387" s="9" t="s">
        <v>1838</v>
      </c>
      <c r="X387" s="9" t="s">
        <v>1838</v>
      </c>
      <c r="Y387" s="9" t="s">
        <v>1841</v>
      </c>
      <c r="Z387">
        <v>4842179.1619999995</v>
      </c>
      <c r="AA387">
        <v>12553041.036323847</v>
      </c>
      <c r="AB387" s="9" t="s">
        <v>1850</v>
      </c>
      <c r="AC387" s="9" t="s">
        <v>1838</v>
      </c>
    </row>
    <row r="388" spans="1:29">
      <c r="A388" s="9" t="s">
        <v>1450</v>
      </c>
      <c r="B388" s="9" t="s">
        <v>69</v>
      </c>
      <c r="C388" s="9" t="s">
        <v>70</v>
      </c>
      <c r="D388" s="9" t="s">
        <v>82</v>
      </c>
      <c r="E388">
        <v>2023</v>
      </c>
      <c r="F388">
        <v>2803216</v>
      </c>
      <c r="G388">
        <v>1.49E-2</v>
      </c>
      <c r="H388">
        <v>41767.919999999998</v>
      </c>
      <c r="I388" s="9" t="s">
        <v>1451</v>
      </c>
      <c r="J388" s="9" t="s">
        <v>1452</v>
      </c>
      <c r="K388" s="9" t="s">
        <v>1453</v>
      </c>
      <c r="L388">
        <v>3181487</v>
      </c>
      <c r="M388" s="8">
        <v>44101</v>
      </c>
      <c r="N388" s="9" t="s">
        <v>70</v>
      </c>
      <c r="O388">
        <v>1.49E-2</v>
      </c>
      <c r="P388">
        <v>1</v>
      </c>
      <c r="Q388" s="9" t="s">
        <v>1824</v>
      </c>
      <c r="R388" s="9" t="s">
        <v>1838</v>
      </c>
      <c r="S388" s="9" t="s">
        <v>1839</v>
      </c>
      <c r="T388" s="9" t="s">
        <v>1838</v>
      </c>
      <c r="U388" s="9" t="s">
        <v>1840</v>
      </c>
      <c r="V388" s="9" t="s">
        <v>1838</v>
      </c>
      <c r="W388" s="9" t="s">
        <v>1838</v>
      </c>
      <c r="X388" s="9" t="s">
        <v>1838</v>
      </c>
      <c r="Y388" s="9" t="s">
        <v>1841</v>
      </c>
      <c r="Z388">
        <v>4842179.1619999995</v>
      </c>
      <c r="AA388">
        <v>12553041.036323847</v>
      </c>
      <c r="AB388" s="9" t="s">
        <v>1850</v>
      </c>
      <c r="AC388" s="9" t="s">
        <v>1838</v>
      </c>
    </row>
    <row r="389" spans="1:29">
      <c r="A389" s="9" t="s">
        <v>1454</v>
      </c>
      <c r="B389" s="9" t="s">
        <v>56</v>
      </c>
      <c r="C389" s="9" t="s">
        <v>57</v>
      </c>
      <c r="D389" s="9" t="s">
        <v>51</v>
      </c>
      <c r="E389">
        <v>2022</v>
      </c>
      <c r="F389">
        <v>610757</v>
      </c>
      <c r="G389">
        <v>1.24E-2</v>
      </c>
      <c r="H389">
        <v>7573.39</v>
      </c>
      <c r="I389" s="9" t="s">
        <v>1455</v>
      </c>
      <c r="J389" s="9" t="s">
        <v>1456</v>
      </c>
      <c r="K389" s="9" t="s">
        <v>1045</v>
      </c>
      <c r="L389">
        <v>736016</v>
      </c>
      <c r="M389" s="8">
        <v>44616</v>
      </c>
      <c r="N389" s="9" t="s">
        <v>57</v>
      </c>
      <c r="O389">
        <v>1.24E-2</v>
      </c>
      <c r="P389">
        <v>1</v>
      </c>
      <c r="Q389" s="9" t="s">
        <v>1820</v>
      </c>
      <c r="R389" s="9" t="s">
        <v>1838</v>
      </c>
      <c r="S389" s="9" t="s">
        <v>1839</v>
      </c>
      <c r="T389" s="9" t="s">
        <v>1838</v>
      </c>
      <c r="U389" s="9" t="s">
        <v>1840</v>
      </c>
      <c r="V389" s="9" t="s">
        <v>1838</v>
      </c>
      <c r="W389" s="9" t="s">
        <v>1838</v>
      </c>
      <c r="X389" s="9" t="s">
        <v>1838</v>
      </c>
      <c r="Y389" s="9" t="s">
        <v>1841</v>
      </c>
      <c r="Z389">
        <v>4842179.1619999995</v>
      </c>
      <c r="AA389">
        <v>12553041.036323847</v>
      </c>
      <c r="AB389" s="9" t="s">
        <v>1850</v>
      </c>
      <c r="AC389" s="9" t="s">
        <v>1838</v>
      </c>
    </row>
    <row r="390" spans="1:29">
      <c r="A390" s="9" t="s">
        <v>1457</v>
      </c>
      <c r="B390" s="9" t="s">
        <v>150</v>
      </c>
      <c r="C390" s="9" t="s">
        <v>151</v>
      </c>
      <c r="D390" s="9" t="s">
        <v>58</v>
      </c>
      <c r="E390">
        <v>2023</v>
      </c>
      <c r="F390">
        <v>3279028</v>
      </c>
      <c r="G390">
        <v>9.2999999999999992E-3</v>
      </c>
      <c r="H390">
        <v>30494.959999999999</v>
      </c>
      <c r="I390" s="9" t="s">
        <v>1458</v>
      </c>
      <c r="J390" s="9" t="s">
        <v>1459</v>
      </c>
      <c r="K390" s="9" t="s">
        <v>874</v>
      </c>
      <c r="L390">
        <v>3214927</v>
      </c>
      <c r="M390" s="8">
        <v>43904</v>
      </c>
      <c r="N390" s="9" t="s">
        <v>151</v>
      </c>
      <c r="O390">
        <v>9.2999999999999992E-3</v>
      </c>
      <c r="P390">
        <v>1</v>
      </c>
      <c r="Q390" s="9" t="s">
        <v>1823</v>
      </c>
      <c r="R390" s="9" t="s">
        <v>1838</v>
      </c>
      <c r="S390" s="9" t="s">
        <v>1839</v>
      </c>
      <c r="T390" s="9" t="s">
        <v>1838</v>
      </c>
      <c r="U390" s="9" t="s">
        <v>1840</v>
      </c>
      <c r="V390" s="9" t="s">
        <v>1838</v>
      </c>
      <c r="W390" s="9" t="s">
        <v>1838</v>
      </c>
      <c r="X390" s="9" t="s">
        <v>1838</v>
      </c>
      <c r="Y390" s="9" t="s">
        <v>1841</v>
      </c>
      <c r="Z390">
        <v>4842179.1619999995</v>
      </c>
      <c r="AA390">
        <v>12553041.036323847</v>
      </c>
      <c r="AB390" s="9" t="s">
        <v>1850</v>
      </c>
      <c r="AC390" s="9" t="s">
        <v>1838</v>
      </c>
    </row>
    <row r="391" spans="1:29">
      <c r="A391" s="9" t="s">
        <v>1460</v>
      </c>
      <c r="B391" s="9" t="s">
        <v>101</v>
      </c>
      <c r="C391" s="9" t="s">
        <v>102</v>
      </c>
      <c r="D391" s="9" t="s">
        <v>71</v>
      </c>
      <c r="E391">
        <v>2022</v>
      </c>
      <c r="F391">
        <v>6568812</v>
      </c>
      <c r="G391">
        <v>1.89E-2</v>
      </c>
      <c r="H391">
        <v>124150.55</v>
      </c>
      <c r="I391" s="9" t="s">
        <v>1461</v>
      </c>
      <c r="J391" s="9" t="s">
        <v>1462</v>
      </c>
      <c r="K391" s="9" t="s">
        <v>703</v>
      </c>
      <c r="L391">
        <v>7907934</v>
      </c>
      <c r="M391" s="8">
        <v>44205</v>
      </c>
      <c r="N391" s="9" t="s">
        <v>102</v>
      </c>
      <c r="O391">
        <v>1.89E-2</v>
      </c>
      <c r="P391">
        <v>1</v>
      </c>
      <c r="Q391" s="9" t="s">
        <v>1822</v>
      </c>
      <c r="R391" s="9" t="s">
        <v>1838</v>
      </c>
      <c r="S391" s="9" t="s">
        <v>1839</v>
      </c>
      <c r="T391" s="9" t="s">
        <v>1838</v>
      </c>
      <c r="U391" s="9" t="s">
        <v>1840</v>
      </c>
      <c r="V391" s="9" t="s">
        <v>1838</v>
      </c>
      <c r="W391" s="9" t="s">
        <v>1838</v>
      </c>
      <c r="X391" s="9" t="s">
        <v>1838</v>
      </c>
      <c r="Y391" s="9" t="s">
        <v>1841</v>
      </c>
      <c r="Z391">
        <v>4842179.1619999995</v>
      </c>
      <c r="AA391">
        <v>12553041.036323847</v>
      </c>
      <c r="AB391" s="9" t="s">
        <v>1850</v>
      </c>
      <c r="AC391" s="9" t="s">
        <v>1838</v>
      </c>
    </row>
    <row r="392" spans="1:29">
      <c r="A392" s="9" t="s">
        <v>1463</v>
      </c>
      <c r="B392" s="9" t="s">
        <v>131</v>
      </c>
      <c r="C392" s="9" t="s">
        <v>132</v>
      </c>
      <c r="D392" s="9" t="s">
        <v>82</v>
      </c>
      <c r="E392">
        <v>2023</v>
      </c>
      <c r="F392">
        <v>7788716</v>
      </c>
      <c r="G392">
        <v>1.5100000000000001E-2</v>
      </c>
      <c r="H392">
        <v>117609.61</v>
      </c>
      <c r="I392" s="9" t="s">
        <v>1464</v>
      </c>
      <c r="J392" s="9" t="s">
        <v>1465</v>
      </c>
      <c r="K392" s="9" t="s">
        <v>757</v>
      </c>
      <c r="L392">
        <v>7905782</v>
      </c>
      <c r="M392" s="8">
        <v>44413</v>
      </c>
      <c r="N392" s="9" t="s">
        <v>132</v>
      </c>
      <c r="O392">
        <v>1.5100000000000001E-2</v>
      </c>
      <c r="P392">
        <v>1</v>
      </c>
      <c r="Q392" s="9" t="s">
        <v>1824</v>
      </c>
      <c r="R392" s="9" t="s">
        <v>1838</v>
      </c>
      <c r="S392" s="9" t="s">
        <v>1839</v>
      </c>
      <c r="T392" s="9" t="s">
        <v>1838</v>
      </c>
      <c r="U392" s="9" t="s">
        <v>1840</v>
      </c>
      <c r="V392" s="9" t="s">
        <v>1838</v>
      </c>
      <c r="W392" s="9" t="s">
        <v>1838</v>
      </c>
      <c r="X392" s="9" t="s">
        <v>1838</v>
      </c>
      <c r="Y392" s="9" t="s">
        <v>1841</v>
      </c>
      <c r="Z392">
        <v>4842179.1619999995</v>
      </c>
      <c r="AA392">
        <v>12553041.036323847</v>
      </c>
      <c r="AB392" s="9" t="s">
        <v>1850</v>
      </c>
      <c r="AC392" s="9" t="s">
        <v>1838</v>
      </c>
    </row>
    <row r="393" spans="1:29">
      <c r="A393" s="9" t="s">
        <v>1466</v>
      </c>
      <c r="B393" s="9" t="s">
        <v>49</v>
      </c>
      <c r="C393" s="9" t="s">
        <v>50</v>
      </c>
      <c r="D393" s="9" t="s">
        <v>58</v>
      </c>
      <c r="E393">
        <v>2023</v>
      </c>
      <c r="F393">
        <v>1993495</v>
      </c>
      <c r="G393">
        <v>9.1000000000000004E-3</v>
      </c>
      <c r="H393">
        <v>18140.8</v>
      </c>
      <c r="I393" s="9" t="s">
        <v>1467</v>
      </c>
      <c r="J393" s="9" t="s">
        <v>1468</v>
      </c>
      <c r="K393" s="9" t="s">
        <v>1469</v>
      </c>
      <c r="L393">
        <v>2457608</v>
      </c>
      <c r="M393" s="8">
        <v>44496</v>
      </c>
      <c r="N393" s="9" t="s">
        <v>50</v>
      </c>
      <c r="O393">
        <v>9.1000000000000004E-3</v>
      </c>
      <c r="P393">
        <v>1</v>
      </c>
      <c r="Q393" s="9" t="s">
        <v>1823</v>
      </c>
      <c r="R393" s="9" t="s">
        <v>1838</v>
      </c>
      <c r="S393" s="9" t="s">
        <v>1839</v>
      </c>
      <c r="T393" s="9" t="s">
        <v>1838</v>
      </c>
      <c r="U393" s="9" t="s">
        <v>1840</v>
      </c>
      <c r="V393" s="9" t="s">
        <v>1838</v>
      </c>
      <c r="W393" s="9" t="s">
        <v>1838</v>
      </c>
      <c r="X393" s="9" t="s">
        <v>1838</v>
      </c>
      <c r="Y393" s="9" t="s">
        <v>1841</v>
      </c>
      <c r="Z393">
        <v>4842179.1619999995</v>
      </c>
      <c r="AA393">
        <v>12553041.036323847</v>
      </c>
      <c r="AB393" s="9" t="s">
        <v>1850</v>
      </c>
      <c r="AC393" s="9" t="s">
        <v>1838</v>
      </c>
    </row>
    <row r="394" spans="1:29">
      <c r="A394" s="9" t="s">
        <v>1470</v>
      </c>
      <c r="B394" s="9" t="s">
        <v>87</v>
      </c>
      <c r="C394" s="9" t="s">
        <v>88</v>
      </c>
      <c r="D394" s="9" t="s">
        <v>97</v>
      </c>
      <c r="E394">
        <v>2022</v>
      </c>
      <c r="F394">
        <v>4206768</v>
      </c>
      <c r="G394">
        <v>2.0500000000000001E-2</v>
      </c>
      <c r="H394">
        <v>86238.74</v>
      </c>
      <c r="I394" s="9" t="s">
        <v>1471</v>
      </c>
      <c r="J394" s="9" t="s">
        <v>1472</v>
      </c>
      <c r="K394" s="9" t="s">
        <v>334</v>
      </c>
      <c r="L394">
        <v>3816292</v>
      </c>
      <c r="M394" s="8">
        <v>44318</v>
      </c>
      <c r="N394" s="9" t="s">
        <v>88</v>
      </c>
      <c r="O394">
        <v>2.0500000000000001E-2</v>
      </c>
      <c r="P394">
        <v>1</v>
      </c>
      <c r="Q394" s="9" t="s">
        <v>1821</v>
      </c>
      <c r="R394" s="9" t="s">
        <v>1838</v>
      </c>
      <c r="S394" s="9" t="s">
        <v>1839</v>
      </c>
      <c r="T394" s="9" t="s">
        <v>1838</v>
      </c>
      <c r="U394" s="9" t="s">
        <v>1840</v>
      </c>
      <c r="V394" s="9" t="s">
        <v>1838</v>
      </c>
      <c r="W394" s="9" t="s">
        <v>1838</v>
      </c>
      <c r="X394" s="9" t="s">
        <v>1838</v>
      </c>
      <c r="Y394" s="9" t="s">
        <v>1841</v>
      </c>
      <c r="Z394">
        <v>4842179.1619999995</v>
      </c>
      <c r="AA394">
        <v>12553041.036323847</v>
      </c>
      <c r="AB394" s="9" t="s">
        <v>1850</v>
      </c>
      <c r="AC394" s="9" t="s">
        <v>1838</v>
      </c>
    </row>
    <row r="395" spans="1:29">
      <c r="A395" s="9" t="s">
        <v>1473</v>
      </c>
      <c r="B395" s="9" t="s">
        <v>131</v>
      </c>
      <c r="C395" s="9" t="s">
        <v>132</v>
      </c>
      <c r="D395" s="9" t="s">
        <v>58</v>
      </c>
      <c r="E395">
        <v>2024</v>
      </c>
      <c r="F395">
        <v>1188471</v>
      </c>
      <c r="G395">
        <v>9.7999999999999997E-3</v>
      </c>
      <c r="H395">
        <v>11647.02</v>
      </c>
      <c r="I395" s="9" t="s">
        <v>1474</v>
      </c>
      <c r="J395" s="9" t="s">
        <v>1475</v>
      </c>
      <c r="K395" s="9" t="s">
        <v>256</v>
      </c>
      <c r="L395">
        <v>1437925</v>
      </c>
      <c r="M395" s="8">
        <v>45172</v>
      </c>
      <c r="N395" s="9" t="s">
        <v>132</v>
      </c>
      <c r="O395">
        <v>9.7999999999999997E-3</v>
      </c>
      <c r="P395">
        <v>1</v>
      </c>
      <c r="Q395" s="9" t="s">
        <v>1823</v>
      </c>
      <c r="R395" s="9" t="s">
        <v>1838</v>
      </c>
      <c r="S395" s="9" t="s">
        <v>1839</v>
      </c>
      <c r="T395" s="9" t="s">
        <v>1838</v>
      </c>
      <c r="U395" s="9" t="s">
        <v>1840</v>
      </c>
      <c r="V395" s="9" t="s">
        <v>1838</v>
      </c>
      <c r="W395" s="9" t="s">
        <v>1838</v>
      </c>
      <c r="X395" s="9" t="s">
        <v>1838</v>
      </c>
      <c r="Y395" s="9" t="s">
        <v>1841</v>
      </c>
      <c r="Z395">
        <v>4842179.1619999995</v>
      </c>
      <c r="AA395">
        <v>12553041.036323847</v>
      </c>
      <c r="AB395" s="9" t="s">
        <v>1850</v>
      </c>
      <c r="AC395" s="9" t="s">
        <v>1838</v>
      </c>
    </row>
    <row r="396" spans="1:29">
      <c r="A396" s="9" t="s">
        <v>1476</v>
      </c>
      <c r="B396" s="9" t="s">
        <v>137</v>
      </c>
      <c r="C396" s="9" t="s">
        <v>138</v>
      </c>
      <c r="D396" s="9" t="s">
        <v>82</v>
      </c>
      <c r="E396">
        <v>2024</v>
      </c>
      <c r="F396">
        <v>3037298</v>
      </c>
      <c r="G396">
        <v>1.4999999999999999E-2</v>
      </c>
      <c r="H396">
        <v>45559.47</v>
      </c>
      <c r="I396" s="9" t="s">
        <v>1477</v>
      </c>
      <c r="J396" s="9" t="s">
        <v>1478</v>
      </c>
      <c r="K396" s="9" t="s">
        <v>1288</v>
      </c>
      <c r="L396">
        <v>3260123</v>
      </c>
      <c r="M396" s="8">
        <v>45486</v>
      </c>
      <c r="N396" s="9" t="s">
        <v>138</v>
      </c>
      <c r="O396">
        <v>1.4999999999999999E-2</v>
      </c>
      <c r="P396">
        <v>1</v>
      </c>
      <c r="Q396" s="9" t="s">
        <v>1824</v>
      </c>
      <c r="R396" s="9" t="s">
        <v>1838</v>
      </c>
      <c r="S396" s="9" t="s">
        <v>1839</v>
      </c>
      <c r="T396" s="9" t="s">
        <v>1838</v>
      </c>
      <c r="U396" s="9" t="s">
        <v>1840</v>
      </c>
      <c r="V396" s="9" t="s">
        <v>1838</v>
      </c>
      <c r="W396" s="9" t="s">
        <v>1838</v>
      </c>
      <c r="X396" s="9" t="s">
        <v>1838</v>
      </c>
      <c r="Y396" s="9" t="s">
        <v>1841</v>
      </c>
      <c r="Z396">
        <v>4842179.1619999995</v>
      </c>
      <c r="AA396">
        <v>12553041.036323847</v>
      </c>
      <c r="AB396" s="9" t="s">
        <v>1850</v>
      </c>
      <c r="AC396" s="9" t="s">
        <v>1838</v>
      </c>
    </row>
    <row r="397" spans="1:29">
      <c r="A397" s="9" t="s">
        <v>1479</v>
      </c>
      <c r="B397" s="9" t="s">
        <v>56</v>
      </c>
      <c r="C397" s="9" t="s">
        <v>57</v>
      </c>
      <c r="D397" s="9" t="s">
        <v>51</v>
      </c>
      <c r="E397">
        <v>2023</v>
      </c>
      <c r="F397">
        <v>748324</v>
      </c>
      <c r="G397">
        <v>1.24E-2</v>
      </c>
      <c r="H397">
        <v>9279.2199999999993</v>
      </c>
      <c r="I397" s="9" t="s">
        <v>1480</v>
      </c>
      <c r="J397" s="9" t="s">
        <v>1481</v>
      </c>
      <c r="K397" s="9" t="s">
        <v>664</v>
      </c>
      <c r="L397">
        <v>685303</v>
      </c>
      <c r="M397" s="8">
        <v>44051</v>
      </c>
      <c r="N397" s="9" t="s">
        <v>57</v>
      </c>
      <c r="O397">
        <v>1.24E-2</v>
      </c>
      <c r="P397">
        <v>1</v>
      </c>
      <c r="Q397" s="9" t="s">
        <v>1820</v>
      </c>
      <c r="R397" s="9" t="s">
        <v>1838</v>
      </c>
      <c r="S397" s="9" t="s">
        <v>1839</v>
      </c>
      <c r="T397" s="9" t="s">
        <v>1838</v>
      </c>
      <c r="U397" s="9" t="s">
        <v>1840</v>
      </c>
      <c r="V397" s="9" t="s">
        <v>1838</v>
      </c>
      <c r="W397" s="9" t="s">
        <v>1838</v>
      </c>
      <c r="X397" s="9" t="s">
        <v>1838</v>
      </c>
      <c r="Y397" s="9" t="s">
        <v>1841</v>
      </c>
      <c r="Z397">
        <v>4842179.1619999995</v>
      </c>
      <c r="AA397">
        <v>12553041.036323847</v>
      </c>
      <c r="AB397" s="9" t="s">
        <v>1850</v>
      </c>
      <c r="AC397" s="9" t="s">
        <v>1838</v>
      </c>
    </row>
    <row r="398" spans="1:29">
      <c r="A398" s="9" t="s">
        <v>1482</v>
      </c>
      <c r="B398" s="9" t="s">
        <v>56</v>
      </c>
      <c r="C398" s="9" t="s">
        <v>57</v>
      </c>
      <c r="D398" s="9" t="s">
        <v>58</v>
      </c>
      <c r="E398">
        <v>2024</v>
      </c>
      <c r="F398">
        <v>740618</v>
      </c>
      <c r="G398">
        <v>9.4000000000000004E-3</v>
      </c>
      <c r="H398">
        <v>6961.81</v>
      </c>
      <c r="I398" s="9" t="s">
        <v>1483</v>
      </c>
      <c r="J398" s="9" t="s">
        <v>1484</v>
      </c>
      <c r="K398" s="9" t="s">
        <v>186</v>
      </c>
      <c r="L398">
        <v>678288</v>
      </c>
      <c r="M398" s="8">
        <v>45049</v>
      </c>
      <c r="N398" s="9" t="s">
        <v>57</v>
      </c>
      <c r="O398">
        <v>9.4000000000000004E-3</v>
      </c>
      <c r="P398">
        <v>1</v>
      </c>
      <c r="Q398" s="9" t="s">
        <v>1823</v>
      </c>
      <c r="R398" s="9" t="s">
        <v>1838</v>
      </c>
      <c r="S398" s="9" t="s">
        <v>1839</v>
      </c>
      <c r="T398" s="9" t="s">
        <v>1838</v>
      </c>
      <c r="U398" s="9" t="s">
        <v>1840</v>
      </c>
      <c r="V398" s="9" t="s">
        <v>1838</v>
      </c>
      <c r="W398" s="9" t="s">
        <v>1838</v>
      </c>
      <c r="X398" s="9" t="s">
        <v>1838</v>
      </c>
      <c r="Y398" s="9" t="s">
        <v>1841</v>
      </c>
      <c r="Z398">
        <v>4842179.1619999995</v>
      </c>
      <c r="AA398">
        <v>12553041.036323847</v>
      </c>
      <c r="AB398" s="9" t="s">
        <v>1850</v>
      </c>
      <c r="AC398" s="9" t="s">
        <v>1838</v>
      </c>
    </row>
    <row r="399" spans="1:29">
      <c r="A399" s="9" t="s">
        <v>1485</v>
      </c>
      <c r="B399" s="9" t="s">
        <v>137</v>
      </c>
      <c r="C399" s="9" t="s">
        <v>138</v>
      </c>
      <c r="D399" s="9" t="s">
        <v>71</v>
      </c>
      <c r="E399">
        <v>2024</v>
      </c>
      <c r="F399">
        <v>7066216</v>
      </c>
      <c r="G399">
        <v>1.8700000000000001E-2</v>
      </c>
      <c r="H399">
        <v>132138.23999999999</v>
      </c>
      <c r="I399" s="9" t="s">
        <v>1486</v>
      </c>
      <c r="J399" s="9" t="s">
        <v>1487</v>
      </c>
      <c r="K399" s="9" t="s">
        <v>314</v>
      </c>
      <c r="L399">
        <v>7336335</v>
      </c>
      <c r="M399" s="8">
        <v>44224</v>
      </c>
      <c r="N399" s="9" t="s">
        <v>138</v>
      </c>
      <c r="O399">
        <v>1.8700000000000001E-2</v>
      </c>
      <c r="P399">
        <v>1</v>
      </c>
      <c r="Q399" s="9" t="s">
        <v>1822</v>
      </c>
      <c r="R399" s="9" t="s">
        <v>1838</v>
      </c>
      <c r="S399" s="9" t="s">
        <v>1839</v>
      </c>
      <c r="T399" s="9" t="s">
        <v>1838</v>
      </c>
      <c r="U399" s="9" t="s">
        <v>1840</v>
      </c>
      <c r="V399" s="9" t="s">
        <v>1838</v>
      </c>
      <c r="W399" s="9" t="s">
        <v>1838</v>
      </c>
      <c r="X399" s="9" t="s">
        <v>1838</v>
      </c>
      <c r="Y399" s="9" t="s">
        <v>1841</v>
      </c>
      <c r="Z399">
        <v>4842179.1619999995</v>
      </c>
      <c r="AA399">
        <v>12553041.036323847</v>
      </c>
      <c r="AB399" s="9" t="s">
        <v>1850</v>
      </c>
      <c r="AC399" s="9" t="s">
        <v>1838</v>
      </c>
    </row>
    <row r="400" spans="1:29">
      <c r="A400" s="9" t="s">
        <v>1488</v>
      </c>
      <c r="B400" s="9" t="s">
        <v>131</v>
      </c>
      <c r="C400" s="9" t="s">
        <v>132</v>
      </c>
      <c r="D400" s="9" t="s">
        <v>58</v>
      </c>
      <c r="E400">
        <v>2024</v>
      </c>
      <c r="F400">
        <v>2325958</v>
      </c>
      <c r="G400">
        <v>9.7999999999999997E-3</v>
      </c>
      <c r="H400">
        <v>22794.39</v>
      </c>
      <c r="I400" s="9" t="s">
        <v>1489</v>
      </c>
      <c r="J400" s="9" t="s">
        <v>1490</v>
      </c>
      <c r="K400" s="9" t="s">
        <v>1491</v>
      </c>
      <c r="L400">
        <v>2106294</v>
      </c>
      <c r="M400" s="8">
        <v>44582</v>
      </c>
      <c r="N400" s="9" t="s">
        <v>132</v>
      </c>
      <c r="O400">
        <v>9.7999999999999997E-3</v>
      </c>
      <c r="P400">
        <v>1</v>
      </c>
      <c r="Q400" s="9" t="s">
        <v>1823</v>
      </c>
      <c r="R400" s="9" t="s">
        <v>1838</v>
      </c>
      <c r="S400" s="9" t="s">
        <v>1839</v>
      </c>
      <c r="T400" s="9" t="s">
        <v>1838</v>
      </c>
      <c r="U400" s="9" t="s">
        <v>1840</v>
      </c>
      <c r="V400" s="9" t="s">
        <v>1838</v>
      </c>
      <c r="W400" s="9" t="s">
        <v>1838</v>
      </c>
      <c r="X400" s="9" t="s">
        <v>1838</v>
      </c>
      <c r="Y400" s="9" t="s">
        <v>1841</v>
      </c>
      <c r="Z400">
        <v>4842179.1619999995</v>
      </c>
      <c r="AA400">
        <v>12553041.036323847</v>
      </c>
      <c r="AB400" s="9" t="s">
        <v>1850</v>
      </c>
      <c r="AC400" s="9" t="s">
        <v>1838</v>
      </c>
    </row>
    <row r="401" spans="1:29">
      <c r="A401" s="9" t="s">
        <v>1492</v>
      </c>
      <c r="B401" s="9" t="s">
        <v>63</v>
      </c>
      <c r="C401" s="9" t="s">
        <v>64</v>
      </c>
      <c r="D401" s="9" t="s">
        <v>97</v>
      </c>
      <c r="E401">
        <v>2024</v>
      </c>
      <c r="F401">
        <v>3125216</v>
      </c>
      <c r="G401">
        <v>2.0500000000000001E-2</v>
      </c>
      <c r="H401">
        <v>64066.93</v>
      </c>
      <c r="I401" s="9" t="s">
        <v>1493</v>
      </c>
      <c r="J401" s="9" t="s">
        <v>1494</v>
      </c>
      <c r="K401" s="9" t="s">
        <v>154</v>
      </c>
      <c r="L401">
        <v>2994385</v>
      </c>
      <c r="M401" s="8">
        <v>44509</v>
      </c>
      <c r="N401" s="9" t="s">
        <v>64</v>
      </c>
      <c r="O401">
        <v>2.0500000000000001E-2</v>
      </c>
      <c r="P401">
        <v>1</v>
      </c>
      <c r="Q401" s="9" t="s">
        <v>1821</v>
      </c>
      <c r="R401" s="9" t="s">
        <v>1838</v>
      </c>
      <c r="S401" s="9" t="s">
        <v>1839</v>
      </c>
      <c r="T401" s="9" t="s">
        <v>1838</v>
      </c>
      <c r="U401" s="9" t="s">
        <v>1840</v>
      </c>
      <c r="V401" s="9" t="s">
        <v>1838</v>
      </c>
      <c r="W401" s="9" t="s">
        <v>1838</v>
      </c>
      <c r="X401" s="9" t="s">
        <v>1838</v>
      </c>
      <c r="Y401" s="9" t="s">
        <v>1841</v>
      </c>
      <c r="Z401">
        <v>4842179.1619999995</v>
      </c>
      <c r="AA401">
        <v>12553041.036323847</v>
      </c>
      <c r="AB401" s="9" t="s">
        <v>1850</v>
      </c>
      <c r="AC401" s="9" t="s">
        <v>1838</v>
      </c>
    </row>
    <row r="402" spans="1:29">
      <c r="A402" s="9" t="s">
        <v>1495</v>
      </c>
      <c r="B402" s="9" t="s">
        <v>101</v>
      </c>
      <c r="C402" s="9" t="s">
        <v>102</v>
      </c>
      <c r="D402" s="9" t="s">
        <v>58</v>
      </c>
      <c r="E402">
        <v>2024</v>
      </c>
      <c r="F402">
        <v>435519</v>
      </c>
      <c r="G402">
        <v>9.9000000000000008E-3</v>
      </c>
      <c r="H402">
        <v>4311.6400000000003</v>
      </c>
      <c r="I402" s="9" t="s">
        <v>1496</v>
      </c>
      <c r="J402" s="9" t="s">
        <v>1497</v>
      </c>
      <c r="K402" s="9" t="s">
        <v>186</v>
      </c>
      <c r="L402">
        <v>504321</v>
      </c>
      <c r="M402" s="8">
        <v>45417</v>
      </c>
      <c r="N402" s="9" t="s">
        <v>102</v>
      </c>
      <c r="O402">
        <v>9.9000000000000008E-3</v>
      </c>
      <c r="P402">
        <v>1</v>
      </c>
      <c r="Q402" s="9" t="s">
        <v>1823</v>
      </c>
      <c r="R402" s="9" t="s">
        <v>1838</v>
      </c>
      <c r="S402" s="9" t="s">
        <v>1839</v>
      </c>
      <c r="T402" s="9" t="s">
        <v>1838</v>
      </c>
      <c r="U402" s="9" t="s">
        <v>1840</v>
      </c>
      <c r="V402" s="9" t="s">
        <v>1838</v>
      </c>
      <c r="W402" s="9" t="s">
        <v>1838</v>
      </c>
      <c r="X402" s="9" t="s">
        <v>1838</v>
      </c>
      <c r="Y402" s="9" t="s">
        <v>1841</v>
      </c>
      <c r="Z402">
        <v>4842179.1619999995</v>
      </c>
      <c r="AA402">
        <v>12553041.036323847</v>
      </c>
      <c r="AB402" s="9" t="s">
        <v>1850</v>
      </c>
      <c r="AC402" s="9" t="s">
        <v>1838</v>
      </c>
    </row>
    <row r="403" spans="1:29">
      <c r="A403" s="9" t="s">
        <v>1498</v>
      </c>
      <c r="B403" s="9" t="s">
        <v>56</v>
      </c>
      <c r="C403" s="9" t="s">
        <v>57</v>
      </c>
      <c r="D403" s="9" t="s">
        <v>71</v>
      </c>
      <c r="E403">
        <v>2021</v>
      </c>
      <c r="F403">
        <v>4829620</v>
      </c>
      <c r="G403">
        <v>1.84E-2</v>
      </c>
      <c r="H403">
        <v>88865.01</v>
      </c>
      <c r="I403" s="9" t="s">
        <v>1499</v>
      </c>
      <c r="J403" s="9" t="s">
        <v>1500</v>
      </c>
      <c r="K403" s="9" t="s">
        <v>1501</v>
      </c>
      <c r="L403">
        <v>4799421</v>
      </c>
      <c r="M403" s="8">
        <v>45174</v>
      </c>
      <c r="N403" s="9" t="s">
        <v>57</v>
      </c>
      <c r="O403">
        <v>1.84E-2</v>
      </c>
      <c r="P403">
        <v>1</v>
      </c>
      <c r="Q403" s="9" t="s">
        <v>1822</v>
      </c>
      <c r="R403" s="9" t="s">
        <v>1838</v>
      </c>
      <c r="S403" s="9" t="s">
        <v>1839</v>
      </c>
      <c r="T403" s="9" t="s">
        <v>1838</v>
      </c>
      <c r="U403" s="9" t="s">
        <v>1840</v>
      </c>
      <c r="V403" s="9" t="s">
        <v>1838</v>
      </c>
      <c r="W403" s="9" t="s">
        <v>1838</v>
      </c>
      <c r="X403" s="9" t="s">
        <v>1838</v>
      </c>
      <c r="Y403" s="9" t="s">
        <v>1841</v>
      </c>
      <c r="Z403">
        <v>4842179.1619999995</v>
      </c>
      <c r="AA403">
        <v>12553041.036323847</v>
      </c>
      <c r="AB403" s="9" t="s">
        <v>1850</v>
      </c>
      <c r="AC403" s="9" t="s">
        <v>1838</v>
      </c>
    </row>
    <row r="404" spans="1:29">
      <c r="A404" s="9" t="s">
        <v>1502</v>
      </c>
      <c r="B404" s="9" t="s">
        <v>101</v>
      </c>
      <c r="C404" s="9" t="s">
        <v>102</v>
      </c>
      <c r="D404" s="9" t="s">
        <v>51</v>
      </c>
      <c r="E404">
        <v>2024</v>
      </c>
      <c r="F404">
        <v>866845</v>
      </c>
      <c r="G404">
        <v>1.29E-2</v>
      </c>
      <c r="H404">
        <v>11182.3</v>
      </c>
      <c r="I404" s="9" t="s">
        <v>1503</v>
      </c>
      <c r="J404" s="9" t="s">
        <v>1504</v>
      </c>
      <c r="K404" s="9" t="s">
        <v>377</v>
      </c>
      <c r="L404">
        <v>962835</v>
      </c>
      <c r="M404" s="8">
        <v>45661</v>
      </c>
      <c r="N404" s="9" t="s">
        <v>102</v>
      </c>
      <c r="O404">
        <v>1.29E-2</v>
      </c>
      <c r="P404">
        <v>1</v>
      </c>
      <c r="Q404" s="9" t="s">
        <v>1820</v>
      </c>
      <c r="R404" s="9" t="s">
        <v>1838</v>
      </c>
      <c r="S404" s="9" t="s">
        <v>1839</v>
      </c>
      <c r="T404" s="9" t="s">
        <v>1838</v>
      </c>
      <c r="U404" s="9" t="s">
        <v>1840</v>
      </c>
      <c r="V404" s="9" t="s">
        <v>1838</v>
      </c>
      <c r="W404" s="9" t="s">
        <v>1838</v>
      </c>
      <c r="X404" s="9" t="s">
        <v>1838</v>
      </c>
      <c r="Y404" s="9" t="s">
        <v>1841</v>
      </c>
      <c r="Z404">
        <v>4842179.1619999995</v>
      </c>
      <c r="AA404">
        <v>12553041.036323847</v>
      </c>
      <c r="AB404" s="9" t="s">
        <v>1850</v>
      </c>
      <c r="AC404" s="9" t="s">
        <v>1838</v>
      </c>
    </row>
    <row r="405" spans="1:29">
      <c r="A405" s="9" t="s">
        <v>1505</v>
      </c>
      <c r="B405" s="9" t="s">
        <v>101</v>
      </c>
      <c r="C405" s="9" t="s">
        <v>102</v>
      </c>
      <c r="D405" s="9" t="s">
        <v>97</v>
      </c>
      <c r="E405">
        <v>2023</v>
      </c>
      <c r="F405">
        <v>3447519</v>
      </c>
      <c r="G405">
        <v>2.0899999999999998E-2</v>
      </c>
      <c r="H405">
        <v>72053.149999999994</v>
      </c>
      <c r="I405" s="9" t="s">
        <v>1506</v>
      </c>
      <c r="J405" s="9" t="s">
        <v>1507</v>
      </c>
      <c r="K405" s="9" t="s">
        <v>1508</v>
      </c>
      <c r="L405">
        <v>3833683</v>
      </c>
      <c r="M405" s="8">
        <v>44037</v>
      </c>
      <c r="N405" s="9" t="s">
        <v>102</v>
      </c>
      <c r="O405">
        <v>2.0899999999999998E-2</v>
      </c>
      <c r="P405">
        <v>1</v>
      </c>
      <c r="Q405" s="9" t="s">
        <v>1821</v>
      </c>
      <c r="R405" s="9" t="s">
        <v>1838</v>
      </c>
      <c r="S405" s="9" t="s">
        <v>1839</v>
      </c>
      <c r="T405" s="9" t="s">
        <v>1838</v>
      </c>
      <c r="U405" s="9" t="s">
        <v>1840</v>
      </c>
      <c r="V405" s="9" t="s">
        <v>1838</v>
      </c>
      <c r="W405" s="9" t="s">
        <v>1838</v>
      </c>
      <c r="X405" s="9" t="s">
        <v>1838</v>
      </c>
      <c r="Y405" s="9" t="s">
        <v>1841</v>
      </c>
      <c r="Z405">
        <v>4842179.1619999995</v>
      </c>
      <c r="AA405">
        <v>12553041.036323847</v>
      </c>
      <c r="AB405" s="9" t="s">
        <v>1850</v>
      </c>
      <c r="AC405" s="9" t="s">
        <v>1838</v>
      </c>
    </row>
    <row r="406" spans="1:29">
      <c r="A406" s="9" t="s">
        <v>1509</v>
      </c>
      <c r="B406" s="9" t="s">
        <v>69</v>
      </c>
      <c r="C406" s="9" t="s">
        <v>70</v>
      </c>
      <c r="D406" s="9" t="s">
        <v>58</v>
      </c>
      <c r="E406">
        <v>2023</v>
      </c>
      <c r="F406">
        <v>15704596</v>
      </c>
      <c r="G406">
        <v>9.5999999999999992E-3</v>
      </c>
      <c r="H406">
        <v>10311.969999999999</v>
      </c>
      <c r="I406" s="9" t="s">
        <v>1510</v>
      </c>
      <c r="J406" s="9" t="s">
        <v>1511</v>
      </c>
      <c r="K406" s="9" t="s">
        <v>1512</v>
      </c>
      <c r="L406">
        <v>1051973</v>
      </c>
      <c r="M406" s="8">
        <v>44981</v>
      </c>
      <c r="N406" s="9" t="s">
        <v>70</v>
      </c>
      <c r="O406">
        <v>9.5999999999999992E-3</v>
      </c>
      <c r="P406">
        <v>1</v>
      </c>
      <c r="Q406" s="9" t="s">
        <v>1823</v>
      </c>
      <c r="R406" s="9" t="s">
        <v>1838</v>
      </c>
      <c r="S406" s="9" t="s">
        <v>1839</v>
      </c>
      <c r="T406" s="9" t="s">
        <v>1845</v>
      </c>
      <c r="U406" s="9" t="s">
        <v>1840</v>
      </c>
      <c r="V406" s="9" t="s">
        <v>1838</v>
      </c>
      <c r="W406" s="9" t="s">
        <v>1838</v>
      </c>
      <c r="X406" s="9" t="s">
        <v>1838</v>
      </c>
      <c r="Y406" s="9" t="s">
        <v>1841</v>
      </c>
      <c r="Z406">
        <v>4842179.1619999995</v>
      </c>
      <c r="AA406">
        <v>12553041.036323847</v>
      </c>
      <c r="AB406" s="9" t="s">
        <v>1850</v>
      </c>
      <c r="AC406" s="9" t="s">
        <v>1843</v>
      </c>
    </row>
    <row r="407" spans="1:29">
      <c r="A407" s="9" t="s">
        <v>1513</v>
      </c>
      <c r="B407" s="9" t="s">
        <v>76</v>
      </c>
      <c r="C407" s="9" t="s">
        <v>77</v>
      </c>
      <c r="D407" s="9" t="s">
        <v>58</v>
      </c>
      <c r="E407">
        <v>2023</v>
      </c>
      <c r="F407">
        <v>4188252</v>
      </c>
      <c r="G407">
        <v>9.4000000000000004E-3</v>
      </c>
      <c r="H407">
        <v>39369.57</v>
      </c>
      <c r="I407" s="9" t="s">
        <v>1514</v>
      </c>
      <c r="J407" s="9" t="s">
        <v>1515</v>
      </c>
      <c r="K407" s="9" t="s">
        <v>1516</v>
      </c>
      <c r="L407">
        <v>5198169</v>
      </c>
      <c r="M407" s="8">
        <v>45431</v>
      </c>
      <c r="N407" s="9" t="s">
        <v>77</v>
      </c>
      <c r="O407">
        <v>9.4000000000000004E-3</v>
      </c>
      <c r="P407">
        <v>1</v>
      </c>
      <c r="Q407" s="9" t="s">
        <v>1823</v>
      </c>
      <c r="R407" s="9" t="s">
        <v>1838</v>
      </c>
      <c r="S407" s="9" t="s">
        <v>1839</v>
      </c>
      <c r="T407" s="9" t="s">
        <v>1838</v>
      </c>
      <c r="U407" s="9" t="s">
        <v>1840</v>
      </c>
      <c r="V407" s="9" t="s">
        <v>1838</v>
      </c>
      <c r="W407" s="9" t="s">
        <v>1838</v>
      </c>
      <c r="X407" s="9" t="s">
        <v>1838</v>
      </c>
      <c r="Y407" s="9" t="s">
        <v>1841</v>
      </c>
      <c r="Z407">
        <v>4842179.1619999995</v>
      </c>
      <c r="AA407">
        <v>12553041.036323847</v>
      </c>
      <c r="AB407" s="9" t="s">
        <v>1850</v>
      </c>
      <c r="AC407" s="9" t="s">
        <v>1838</v>
      </c>
    </row>
    <row r="408" spans="1:29">
      <c r="A408" s="9" t="s">
        <v>1517</v>
      </c>
      <c r="B408" s="9" t="s">
        <v>87</v>
      </c>
      <c r="C408" s="9" t="s">
        <v>88</v>
      </c>
      <c r="D408" s="9" t="s">
        <v>82</v>
      </c>
      <c r="E408">
        <v>2021</v>
      </c>
      <c r="F408">
        <v>11510678</v>
      </c>
      <c r="G408">
        <v>1.4800000000000001E-2</v>
      </c>
      <c r="H408">
        <v>170358.03</v>
      </c>
      <c r="I408" s="9" t="s">
        <v>1518</v>
      </c>
      <c r="J408" s="9" t="s">
        <v>1519</v>
      </c>
      <c r="K408" s="9" t="s">
        <v>459</v>
      </c>
      <c r="L408">
        <v>12966578</v>
      </c>
      <c r="M408" s="8">
        <v>44836</v>
      </c>
      <c r="N408" s="9" t="s">
        <v>88</v>
      </c>
      <c r="O408">
        <v>1.4800000000000001E-2</v>
      </c>
      <c r="P408">
        <v>1</v>
      </c>
      <c r="Q408" s="9" t="s">
        <v>1824</v>
      </c>
      <c r="R408" s="9" t="s">
        <v>1838</v>
      </c>
      <c r="S408" s="9" t="s">
        <v>1839</v>
      </c>
      <c r="T408" s="9" t="s">
        <v>1838</v>
      </c>
      <c r="U408" s="9" t="s">
        <v>1840</v>
      </c>
      <c r="V408" s="9" t="s">
        <v>1838</v>
      </c>
      <c r="W408" s="9" t="s">
        <v>1838</v>
      </c>
      <c r="X408" s="9" t="s">
        <v>1838</v>
      </c>
      <c r="Y408" s="9" t="s">
        <v>1841</v>
      </c>
      <c r="Z408">
        <v>4842179.1619999995</v>
      </c>
      <c r="AA408">
        <v>12553041.036323847</v>
      </c>
      <c r="AB408" s="9" t="s">
        <v>1850</v>
      </c>
      <c r="AC408" s="9" t="s">
        <v>1838</v>
      </c>
    </row>
    <row r="409" spans="1:29">
      <c r="A409" s="9" t="s">
        <v>1520</v>
      </c>
      <c r="B409" s="9" t="s">
        <v>131</v>
      </c>
      <c r="C409" s="9" t="s">
        <v>132</v>
      </c>
      <c r="D409" s="9" t="s">
        <v>51</v>
      </c>
      <c r="E409">
        <v>2022</v>
      </c>
      <c r="F409">
        <v>728024</v>
      </c>
      <c r="G409">
        <v>1.2800000000000001E-2</v>
      </c>
      <c r="H409">
        <v>9318.7099999999991</v>
      </c>
      <c r="I409" s="9" t="s">
        <v>1521</v>
      </c>
      <c r="J409" s="9" t="s">
        <v>1522</v>
      </c>
      <c r="K409" s="9" t="s">
        <v>486</v>
      </c>
      <c r="L409">
        <v>815608</v>
      </c>
      <c r="M409" s="8">
        <v>44471</v>
      </c>
      <c r="N409" s="9" t="s">
        <v>132</v>
      </c>
      <c r="O409">
        <v>1.2800000000000001E-2</v>
      </c>
      <c r="P409">
        <v>1</v>
      </c>
      <c r="Q409" s="9" t="s">
        <v>1820</v>
      </c>
      <c r="R409" s="9" t="s">
        <v>1838</v>
      </c>
      <c r="S409" s="9" t="s">
        <v>1839</v>
      </c>
      <c r="T409" s="9" t="s">
        <v>1838</v>
      </c>
      <c r="U409" s="9" t="s">
        <v>1840</v>
      </c>
      <c r="V409" s="9" t="s">
        <v>1838</v>
      </c>
      <c r="W409" s="9" t="s">
        <v>1838</v>
      </c>
      <c r="X409" s="9" t="s">
        <v>1838</v>
      </c>
      <c r="Y409" s="9" t="s">
        <v>1841</v>
      </c>
      <c r="Z409">
        <v>4842179.1619999995</v>
      </c>
      <c r="AA409">
        <v>12553041.036323847</v>
      </c>
      <c r="AB409" s="9" t="s">
        <v>1850</v>
      </c>
      <c r="AC409" s="9" t="s">
        <v>1838</v>
      </c>
    </row>
    <row r="410" spans="1:29">
      <c r="A410" s="9" t="s">
        <v>1523</v>
      </c>
      <c r="B410" s="9" t="s">
        <v>131</v>
      </c>
      <c r="C410" s="9" t="s">
        <v>132</v>
      </c>
      <c r="D410" s="9" t="s">
        <v>82</v>
      </c>
      <c r="E410">
        <v>2024</v>
      </c>
      <c r="F410">
        <v>10872580</v>
      </c>
      <c r="G410">
        <v>1.5100000000000001E-2</v>
      </c>
      <c r="H410">
        <v>164175.96</v>
      </c>
      <c r="I410" s="9" t="s">
        <v>1524</v>
      </c>
      <c r="J410" s="9" t="s">
        <v>1525</v>
      </c>
      <c r="K410" s="9" t="s">
        <v>373</v>
      </c>
      <c r="L410">
        <v>10107937</v>
      </c>
      <c r="M410" s="8">
        <v>44841</v>
      </c>
      <c r="N410" s="9" t="s">
        <v>132</v>
      </c>
      <c r="O410">
        <v>1.5100000000000001E-2</v>
      </c>
      <c r="P410">
        <v>1</v>
      </c>
      <c r="Q410" s="9" t="s">
        <v>1824</v>
      </c>
      <c r="R410" s="9" t="s">
        <v>1838</v>
      </c>
      <c r="S410" s="9" t="s">
        <v>1839</v>
      </c>
      <c r="T410" s="9" t="s">
        <v>1838</v>
      </c>
      <c r="U410" s="9" t="s">
        <v>1840</v>
      </c>
      <c r="V410" s="9" t="s">
        <v>1838</v>
      </c>
      <c r="W410" s="9" t="s">
        <v>1838</v>
      </c>
      <c r="X410" s="9" t="s">
        <v>1838</v>
      </c>
      <c r="Y410" s="9" t="s">
        <v>1841</v>
      </c>
      <c r="Z410">
        <v>4842179.1619999995</v>
      </c>
      <c r="AA410">
        <v>12553041.036323847</v>
      </c>
      <c r="AB410" s="9" t="s">
        <v>1850</v>
      </c>
      <c r="AC410" s="9" t="s">
        <v>1838</v>
      </c>
    </row>
    <row r="411" spans="1:29">
      <c r="A411" s="9" t="s">
        <v>1526</v>
      </c>
      <c r="B411" s="9" t="s">
        <v>69</v>
      </c>
      <c r="C411" s="9" t="s">
        <v>70</v>
      </c>
      <c r="D411" s="9" t="s">
        <v>97</v>
      </c>
      <c r="E411">
        <v>2024</v>
      </c>
      <c r="F411">
        <v>1094199</v>
      </c>
      <c r="G411">
        <v>2.06E-2</v>
      </c>
      <c r="H411">
        <v>22540.5</v>
      </c>
      <c r="I411" s="9" t="s">
        <v>1527</v>
      </c>
      <c r="J411" s="9" t="s">
        <v>1528</v>
      </c>
      <c r="K411" s="9" t="s">
        <v>377</v>
      </c>
      <c r="L411">
        <v>1116581</v>
      </c>
      <c r="M411" s="8">
        <v>44769</v>
      </c>
      <c r="N411" s="9" t="s">
        <v>70</v>
      </c>
      <c r="O411">
        <v>2.06E-2</v>
      </c>
      <c r="P411">
        <v>1</v>
      </c>
      <c r="Q411" s="9" t="s">
        <v>1821</v>
      </c>
      <c r="R411" s="9" t="s">
        <v>1838</v>
      </c>
      <c r="S411" s="9" t="s">
        <v>1839</v>
      </c>
      <c r="T411" s="9" t="s">
        <v>1838</v>
      </c>
      <c r="U411" s="9" t="s">
        <v>1840</v>
      </c>
      <c r="V411" s="9" t="s">
        <v>1838</v>
      </c>
      <c r="W411" s="9" t="s">
        <v>1838</v>
      </c>
      <c r="X411" s="9" t="s">
        <v>1838</v>
      </c>
      <c r="Y411" s="9" t="s">
        <v>1841</v>
      </c>
      <c r="Z411">
        <v>4842179.1619999995</v>
      </c>
      <c r="AA411">
        <v>12553041.036323847</v>
      </c>
      <c r="AB411" s="9" t="s">
        <v>1850</v>
      </c>
      <c r="AC411" s="9" t="s">
        <v>1838</v>
      </c>
    </row>
    <row r="412" spans="1:29">
      <c r="A412" s="9" t="s">
        <v>1529</v>
      </c>
      <c r="B412" s="9" t="s">
        <v>56</v>
      </c>
      <c r="C412" s="9" t="s">
        <v>57</v>
      </c>
      <c r="D412" s="9" t="s">
        <v>82</v>
      </c>
      <c r="E412">
        <v>2022</v>
      </c>
      <c r="F412">
        <v>9541185</v>
      </c>
      <c r="G412">
        <v>1.47E-2</v>
      </c>
      <c r="H412">
        <v>140255.42000000001</v>
      </c>
      <c r="I412" s="9" t="s">
        <v>1530</v>
      </c>
      <c r="J412" s="9" t="s">
        <v>1531</v>
      </c>
      <c r="K412" s="9" t="s">
        <v>322</v>
      </c>
      <c r="L412">
        <v>11008472</v>
      </c>
      <c r="M412" s="8">
        <v>43982</v>
      </c>
      <c r="N412" s="9" t="s">
        <v>57</v>
      </c>
      <c r="O412">
        <v>1.47E-2</v>
      </c>
      <c r="P412">
        <v>1</v>
      </c>
      <c r="Q412" s="9" t="s">
        <v>1824</v>
      </c>
      <c r="R412" s="9" t="s">
        <v>1838</v>
      </c>
      <c r="S412" s="9" t="s">
        <v>1839</v>
      </c>
      <c r="T412" s="9" t="s">
        <v>1838</v>
      </c>
      <c r="U412" s="9" t="s">
        <v>1840</v>
      </c>
      <c r="V412" s="9" t="s">
        <v>1838</v>
      </c>
      <c r="W412" s="9" t="s">
        <v>1838</v>
      </c>
      <c r="X412" s="9" t="s">
        <v>1838</v>
      </c>
      <c r="Y412" s="9" t="s">
        <v>1841</v>
      </c>
      <c r="Z412">
        <v>4842179.1619999995</v>
      </c>
      <c r="AA412">
        <v>12553041.036323847</v>
      </c>
      <c r="AB412" s="9" t="s">
        <v>1850</v>
      </c>
      <c r="AC412" s="9" t="s">
        <v>1838</v>
      </c>
    </row>
    <row r="413" spans="1:29">
      <c r="A413" s="9" t="s">
        <v>1532</v>
      </c>
      <c r="B413" s="9" t="s">
        <v>56</v>
      </c>
      <c r="C413" s="9" t="s">
        <v>57</v>
      </c>
      <c r="D413" s="9" t="s">
        <v>82</v>
      </c>
      <c r="E413">
        <v>2023</v>
      </c>
      <c r="F413">
        <v>4299160</v>
      </c>
      <c r="G413">
        <v>1.47E-2</v>
      </c>
      <c r="H413">
        <v>63197.65</v>
      </c>
      <c r="I413" s="9" t="s">
        <v>1533</v>
      </c>
      <c r="J413" s="9" t="s">
        <v>1534</v>
      </c>
      <c r="K413" s="9" t="s">
        <v>1535</v>
      </c>
      <c r="L413">
        <v>5354321</v>
      </c>
      <c r="M413" s="8">
        <v>44057</v>
      </c>
      <c r="N413" s="9" t="s">
        <v>57</v>
      </c>
      <c r="O413">
        <v>1.47E-2</v>
      </c>
      <c r="P413">
        <v>1</v>
      </c>
      <c r="Q413" s="9" t="s">
        <v>1824</v>
      </c>
      <c r="R413" s="9" t="s">
        <v>1838</v>
      </c>
      <c r="S413" s="9" t="s">
        <v>1839</v>
      </c>
      <c r="T413" s="9" t="s">
        <v>1838</v>
      </c>
      <c r="U413" s="9" t="s">
        <v>1840</v>
      </c>
      <c r="V413" s="9" t="s">
        <v>1838</v>
      </c>
      <c r="W413" s="9" t="s">
        <v>1838</v>
      </c>
      <c r="X413" s="9" t="s">
        <v>1838</v>
      </c>
      <c r="Y413" s="9" t="s">
        <v>1841</v>
      </c>
      <c r="Z413">
        <v>4842179.1619999995</v>
      </c>
      <c r="AA413">
        <v>12553041.036323847</v>
      </c>
      <c r="AB413" s="9" t="s">
        <v>1850</v>
      </c>
      <c r="AC413" s="9" t="s">
        <v>1838</v>
      </c>
    </row>
    <row r="414" spans="1:29">
      <c r="A414" s="9" t="s">
        <v>1536</v>
      </c>
      <c r="B414" s="9" t="s">
        <v>63</v>
      </c>
      <c r="C414" s="9" t="s">
        <v>64</v>
      </c>
      <c r="D414" s="9" t="s">
        <v>71</v>
      </c>
      <c r="E414">
        <v>2023</v>
      </c>
      <c r="F414">
        <v>5882778</v>
      </c>
      <c r="G414">
        <v>1.8499999999999999E-2</v>
      </c>
      <c r="H414">
        <v>108831.39</v>
      </c>
      <c r="I414" s="9" t="s">
        <v>1537</v>
      </c>
      <c r="J414" s="9" t="s">
        <v>1538</v>
      </c>
      <c r="K414" s="9" t="s">
        <v>84</v>
      </c>
      <c r="L414">
        <v>6765939</v>
      </c>
      <c r="M414" s="8">
        <v>45116</v>
      </c>
      <c r="N414" s="9" t="s">
        <v>64</v>
      </c>
      <c r="O414">
        <v>1.8499999999999999E-2</v>
      </c>
      <c r="P414">
        <v>1</v>
      </c>
      <c r="Q414" s="9" t="s">
        <v>1822</v>
      </c>
      <c r="R414" s="9" t="s">
        <v>1838</v>
      </c>
      <c r="S414" s="9" t="s">
        <v>1839</v>
      </c>
      <c r="T414" s="9" t="s">
        <v>1838</v>
      </c>
      <c r="U414" s="9" t="s">
        <v>1840</v>
      </c>
      <c r="V414" s="9" t="s">
        <v>1838</v>
      </c>
      <c r="W414" s="9" t="s">
        <v>1838</v>
      </c>
      <c r="X414" s="9" t="s">
        <v>1838</v>
      </c>
      <c r="Y414" s="9" t="s">
        <v>1841</v>
      </c>
      <c r="Z414">
        <v>4842179.1619999995</v>
      </c>
      <c r="AA414">
        <v>12553041.036323847</v>
      </c>
      <c r="AB414" s="9" t="s">
        <v>1850</v>
      </c>
      <c r="AC414" s="9" t="s">
        <v>1838</v>
      </c>
    </row>
    <row r="415" spans="1:29">
      <c r="A415" s="9" t="s">
        <v>1539</v>
      </c>
      <c r="B415" s="9" t="s">
        <v>602</v>
      </c>
      <c r="C415" s="9" t="s">
        <v>64</v>
      </c>
      <c r="D415" s="9" t="s">
        <v>82</v>
      </c>
      <c r="E415">
        <v>2022</v>
      </c>
      <c r="F415">
        <v>5546064</v>
      </c>
      <c r="G415">
        <v>1.47E-2</v>
      </c>
      <c r="H415">
        <v>81527.14</v>
      </c>
      <c r="I415" s="9" t="s">
        <v>1540</v>
      </c>
      <c r="J415" s="9" t="s">
        <v>1541</v>
      </c>
      <c r="K415" s="9" t="s">
        <v>896</v>
      </c>
      <c r="L415">
        <v>5817778</v>
      </c>
      <c r="M415" s="8">
        <v>45153</v>
      </c>
      <c r="N415" s="9"/>
      <c r="P415">
        <v>1</v>
      </c>
      <c r="Q415" s="9" t="s">
        <v>1824</v>
      </c>
      <c r="R415" s="9" t="s">
        <v>1842</v>
      </c>
      <c r="S415" s="9" t="s">
        <v>1845</v>
      </c>
      <c r="T415" s="9" t="s">
        <v>1845</v>
      </c>
      <c r="U415" s="9" t="s">
        <v>1840</v>
      </c>
      <c r="V415" s="9" t="s">
        <v>1838</v>
      </c>
      <c r="W415" s="9" t="s">
        <v>1838</v>
      </c>
      <c r="X415" s="9" t="s">
        <v>1838</v>
      </c>
      <c r="Y415" s="9" t="s">
        <v>1841</v>
      </c>
      <c r="Z415">
        <v>4842179.1619999995</v>
      </c>
      <c r="AA415">
        <v>12553041.036323847</v>
      </c>
      <c r="AB415" s="9" t="s">
        <v>1850</v>
      </c>
      <c r="AC415" s="9" t="s">
        <v>1843</v>
      </c>
    </row>
    <row r="416" spans="1:29">
      <c r="A416" s="9" t="s">
        <v>1542</v>
      </c>
      <c r="B416" s="9" t="s">
        <v>49</v>
      </c>
      <c r="C416" s="9" t="s">
        <v>50</v>
      </c>
      <c r="D416" s="9" t="s">
        <v>51</v>
      </c>
      <c r="E416">
        <v>2021</v>
      </c>
      <c r="F416">
        <v>718298</v>
      </c>
      <c r="G416">
        <v>1.21E-2</v>
      </c>
      <c r="H416">
        <v>8691.41</v>
      </c>
      <c r="I416" s="9" t="s">
        <v>1543</v>
      </c>
      <c r="J416" s="9" t="s">
        <v>1544</v>
      </c>
      <c r="K416" s="9" t="s">
        <v>213</v>
      </c>
      <c r="L416">
        <v>819690</v>
      </c>
      <c r="M416" s="8">
        <v>45471</v>
      </c>
      <c r="N416" s="9" t="s">
        <v>50</v>
      </c>
      <c r="O416">
        <v>1.21E-2</v>
      </c>
      <c r="P416">
        <v>1</v>
      </c>
      <c r="Q416" s="9" t="s">
        <v>1820</v>
      </c>
      <c r="R416" s="9" t="s">
        <v>1838</v>
      </c>
      <c r="S416" s="9" t="s">
        <v>1839</v>
      </c>
      <c r="T416" s="9" t="s">
        <v>1838</v>
      </c>
      <c r="U416" s="9" t="s">
        <v>1840</v>
      </c>
      <c r="V416" s="9" t="s">
        <v>1838</v>
      </c>
      <c r="W416" s="9" t="s">
        <v>1838</v>
      </c>
      <c r="X416" s="9" t="s">
        <v>1838</v>
      </c>
      <c r="Y416" s="9" t="s">
        <v>1841</v>
      </c>
      <c r="Z416">
        <v>4842179.1619999995</v>
      </c>
      <c r="AA416">
        <v>12553041.036323847</v>
      </c>
      <c r="AB416" s="9" t="s">
        <v>1850</v>
      </c>
      <c r="AC416" s="9" t="s">
        <v>1838</v>
      </c>
    </row>
    <row r="417" spans="1:29">
      <c r="A417" s="9" t="s">
        <v>1545</v>
      </c>
      <c r="B417" s="9" t="s">
        <v>69</v>
      </c>
      <c r="C417" s="9" t="s">
        <v>70</v>
      </c>
      <c r="D417" s="9" t="s">
        <v>97</v>
      </c>
      <c r="E417">
        <v>2022</v>
      </c>
      <c r="F417">
        <v>2590614</v>
      </c>
      <c r="G417">
        <v>2.06E-2</v>
      </c>
      <c r="H417">
        <v>53366.65</v>
      </c>
      <c r="I417" s="9" t="s">
        <v>1546</v>
      </c>
      <c r="J417" s="9" t="s">
        <v>1547</v>
      </c>
      <c r="K417" s="9" t="s">
        <v>1062</v>
      </c>
      <c r="L417">
        <v>2666431</v>
      </c>
      <c r="M417" s="8">
        <v>43952</v>
      </c>
      <c r="N417" s="9" t="s">
        <v>70</v>
      </c>
      <c r="O417">
        <v>2.06E-2</v>
      </c>
      <c r="P417">
        <v>1</v>
      </c>
      <c r="Q417" s="9" t="s">
        <v>1821</v>
      </c>
      <c r="R417" s="9" t="s">
        <v>1838</v>
      </c>
      <c r="S417" s="9" t="s">
        <v>1839</v>
      </c>
      <c r="T417" s="9" t="s">
        <v>1838</v>
      </c>
      <c r="U417" s="9" t="s">
        <v>1840</v>
      </c>
      <c r="V417" s="9" t="s">
        <v>1838</v>
      </c>
      <c r="W417" s="9" t="s">
        <v>1838</v>
      </c>
      <c r="X417" s="9" t="s">
        <v>1838</v>
      </c>
      <c r="Y417" s="9" t="s">
        <v>1841</v>
      </c>
      <c r="Z417">
        <v>4842179.1619999995</v>
      </c>
      <c r="AA417">
        <v>12553041.036323847</v>
      </c>
      <c r="AB417" s="9" t="s">
        <v>1850</v>
      </c>
      <c r="AC417" s="9" t="s">
        <v>1838</v>
      </c>
    </row>
    <row r="418" spans="1:29">
      <c r="A418" s="9" t="s">
        <v>1548</v>
      </c>
      <c r="B418" s="9" t="s">
        <v>87</v>
      </c>
      <c r="C418" s="9" t="s">
        <v>88</v>
      </c>
      <c r="D418" s="9" t="s">
        <v>58</v>
      </c>
      <c r="E418">
        <v>2021</v>
      </c>
      <c r="F418">
        <v>814074</v>
      </c>
      <c r="G418">
        <v>9.4999999999999998E-3</v>
      </c>
      <c r="H418">
        <v>7733.7</v>
      </c>
      <c r="I418" s="9" t="s">
        <v>1549</v>
      </c>
      <c r="J418" s="9" t="s">
        <v>1550</v>
      </c>
      <c r="K418" s="9" t="s">
        <v>158</v>
      </c>
      <c r="L418">
        <v>999591</v>
      </c>
      <c r="M418" s="8">
        <v>44715</v>
      </c>
      <c r="N418" s="9" t="s">
        <v>88</v>
      </c>
      <c r="O418">
        <v>9.4999999999999998E-3</v>
      </c>
      <c r="P418">
        <v>1</v>
      </c>
      <c r="Q418" s="9" t="s">
        <v>1823</v>
      </c>
      <c r="R418" s="9" t="s">
        <v>1838</v>
      </c>
      <c r="S418" s="9" t="s">
        <v>1839</v>
      </c>
      <c r="T418" s="9" t="s">
        <v>1838</v>
      </c>
      <c r="U418" s="9" t="s">
        <v>1840</v>
      </c>
      <c r="V418" s="9" t="s">
        <v>1838</v>
      </c>
      <c r="W418" s="9" t="s">
        <v>1838</v>
      </c>
      <c r="X418" s="9" t="s">
        <v>1838</v>
      </c>
      <c r="Y418" s="9" t="s">
        <v>1841</v>
      </c>
      <c r="Z418">
        <v>4842179.1619999995</v>
      </c>
      <c r="AA418">
        <v>12553041.036323847</v>
      </c>
      <c r="AB418" s="9" t="s">
        <v>1850</v>
      </c>
      <c r="AC418" s="9" t="s">
        <v>1838</v>
      </c>
    </row>
    <row r="419" spans="1:29">
      <c r="A419" s="9" t="s">
        <v>1551</v>
      </c>
      <c r="B419" s="9" t="s">
        <v>137</v>
      </c>
      <c r="C419" s="9" t="s">
        <v>138</v>
      </c>
      <c r="D419" s="9" t="s">
        <v>97</v>
      </c>
      <c r="E419">
        <v>2022</v>
      </c>
      <c r="F419">
        <v>3937434</v>
      </c>
      <c r="G419">
        <v>2.07E-2</v>
      </c>
      <c r="H419">
        <v>81504.88</v>
      </c>
      <c r="I419" s="9" t="s">
        <v>1552</v>
      </c>
      <c r="J419" s="9" t="s">
        <v>1553</v>
      </c>
      <c r="K419" s="9" t="s">
        <v>109</v>
      </c>
      <c r="L419">
        <v>4063656</v>
      </c>
      <c r="M419" s="8">
        <v>44009</v>
      </c>
      <c r="N419" s="9" t="s">
        <v>138</v>
      </c>
      <c r="O419">
        <v>2.07E-2</v>
      </c>
      <c r="P419">
        <v>1</v>
      </c>
      <c r="Q419" s="9" t="s">
        <v>1821</v>
      </c>
      <c r="R419" s="9" t="s">
        <v>1838</v>
      </c>
      <c r="S419" s="9" t="s">
        <v>1839</v>
      </c>
      <c r="T419" s="9" t="s">
        <v>1838</v>
      </c>
      <c r="U419" s="9" t="s">
        <v>1840</v>
      </c>
      <c r="V419" s="9" t="s">
        <v>1838</v>
      </c>
      <c r="W419" s="9" t="s">
        <v>1838</v>
      </c>
      <c r="X419" s="9" t="s">
        <v>1838</v>
      </c>
      <c r="Y419" s="9" t="s">
        <v>1841</v>
      </c>
      <c r="Z419">
        <v>4842179.1619999995</v>
      </c>
      <c r="AA419">
        <v>12553041.036323847</v>
      </c>
      <c r="AB419" s="9" t="s">
        <v>1850</v>
      </c>
      <c r="AC419" s="9" t="s">
        <v>1838</v>
      </c>
    </row>
    <row r="420" spans="1:29">
      <c r="A420" s="9" t="s">
        <v>1554</v>
      </c>
      <c r="B420" s="9" t="s">
        <v>131</v>
      </c>
      <c r="C420" s="9" t="s">
        <v>132</v>
      </c>
      <c r="D420" s="9" t="s">
        <v>82</v>
      </c>
      <c r="E420">
        <v>2024</v>
      </c>
      <c r="F420">
        <v>10457003</v>
      </c>
      <c r="G420">
        <v>1.5100000000000001E-2</v>
      </c>
      <c r="H420">
        <v>157900.75</v>
      </c>
      <c r="I420" s="9" t="s">
        <v>1555</v>
      </c>
      <c r="J420" s="9" t="s">
        <v>1556</v>
      </c>
      <c r="K420" s="9" t="s">
        <v>1557</v>
      </c>
      <c r="L420">
        <v>10426482</v>
      </c>
      <c r="M420" s="8">
        <v>44378</v>
      </c>
      <c r="N420" s="9" t="s">
        <v>132</v>
      </c>
      <c r="O420">
        <v>1.5100000000000001E-2</v>
      </c>
      <c r="P420">
        <v>1</v>
      </c>
      <c r="Q420" s="9" t="s">
        <v>1824</v>
      </c>
      <c r="R420" s="9" t="s">
        <v>1838</v>
      </c>
      <c r="S420" s="9" t="s">
        <v>1839</v>
      </c>
      <c r="T420" s="9" t="s">
        <v>1838</v>
      </c>
      <c r="U420" s="9" t="s">
        <v>1840</v>
      </c>
      <c r="V420" s="9" t="s">
        <v>1838</v>
      </c>
      <c r="W420" s="9" t="s">
        <v>1838</v>
      </c>
      <c r="X420" s="9" t="s">
        <v>1838</v>
      </c>
      <c r="Y420" s="9" t="s">
        <v>1841</v>
      </c>
      <c r="Z420">
        <v>4842179.1619999995</v>
      </c>
      <c r="AA420">
        <v>12553041.036323847</v>
      </c>
      <c r="AB420" s="9" t="s">
        <v>1850</v>
      </c>
      <c r="AC420" s="9" t="s">
        <v>1838</v>
      </c>
    </row>
    <row r="421" spans="1:29">
      <c r="A421" s="9" t="s">
        <v>1558</v>
      </c>
      <c r="B421" s="9" t="s">
        <v>131</v>
      </c>
      <c r="C421" s="9" t="s">
        <v>132</v>
      </c>
      <c r="D421" s="9" t="s">
        <v>51</v>
      </c>
      <c r="E421">
        <v>2023</v>
      </c>
      <c r="F421">
        <v>817072</v>
      </c>
      <c r="G421">
        <v>1.2800000000000001E-2</v>
      </c>
      <c r="H421">
        <v>10458.52</v>
      </c>
      <c r="I421" s="9" t="s">
        <v>1559</v>
      </c>
      <c r="J421" s="9" t="s">
        <v>1560</v>
      </c>
      <c r="K421" s="9" t="s">
        <v>229</v>
      </c>
      <c r="L421">
        <v>786767</v>
      </c>
      <c r="M421" s="8">
        <v>43869</v>
      </c>
      <c r="N421" s="9" t="s">
        <v>132</v>
      </c>
      <c r="O421">
        <v>1.2800000000000001E-2</v>
      </c>
      <c r="P421">
        <v>1</v>
      </c>
      <c r="Q421" s="9" t="s">
        <v>1820</v>
      </c>
      <c r="R421" s="9" t="s">
        <v>1838</v>
      </c>
      <c r="S421" s="9" t="s">
        <v>1839</v>
      </c>
      <c r="T421" s="9" t="s">
        <v>1838</v>
      </c>
      <c r="U421" s="9" t="s">
        <v>1840</v>
      </c>
      <c r="V421" s="9" t="s">
        <v>1838</v>
      </c>
      <c r="W421" s="9" t="s">
        <v>1838</v>
      </c>
      <c r="X421" s="9" t="s">
        <v>1838</v>
      </c>
      <c r="Y421" s="9" t="s">
        <v>1841</v>
      </c>
      <c r="Z421">
        <v>4842179.1619999995</v>
      </c>
      <c r="AA421">
        <v>12553041.036323847</v>
      </c>
      <c r="AB421" s="9" t="s">
        <v>1850</v>
      </c>
      <c r="AC421" s="9" t="s">
        <v>1838</v>
      </c>
    </row>
    <row r="422" spans="1:29">
      <c r="A422" s="9" t="s">
        <v>1561</v>
      </c>
      <c r="B422" s="9" t="s">
        <v>137</v>
      </c>
      <c r="C422" s="9" t="s">
        <v>138</v>
      </c>
      <c r="D422" s="9" t="s">
        <v>97</v>
      </c>
      <c r="E422">
        <v>2022</v>
      </c>
      <c r="F422">
        <v>3998581</v>
      </c>
      <c r="G422">
        <v>2.07E-2</v>
      </c>
      <c r="H422">
        <v>82770.63</v>
      </c>
      <c r="I422" s="9" t="s">
        <v>1562</v>
      </c>
      <c r="J422" s="9" t="s">
        <v>1563</v>
      </c>
      <c r="K422" s="9" t="s">
        <v>158</v>
      </c>
      <c r="L422">
        <v>4801804</v>
      </c>
      <c r="M422" s="8">
        <v>44765</v>
      </c>
      <c r="N422" s="9" t="s">
        <v>138</v>
      </c>
      <c r="O422">
        <v>2.07E-2</v>
      </c>
      <c r="P422">
        <v>1</v>
      </c>
      <c r="Q422" s="9" t="s">
        <v>1821</v>
      </c>
      <c r="R422" s="9" t="s">
        <v>1838</v>
      </c>
      <c r="S422" s="9" t="s">
        <v>1839</v>
      </c>
      <c r="T422" s="9" t="s">
        <v>1838</v>
      </c>
      <c r="U422" s="9" t="s">
        <v>1840</v>
      </c>
      <c r="V422" s="9" t="s">
        <v>1838</v>
      </c>
      <c r="W422" s="9" t="s">
        <v>1838</v>
      </c>
      <c r="X422" s="9" t="s">
        <v>1838</v>
      </c>
      <c r="Y422" s="9" t="s">
        <v>1841</v>
      </c>
      <c r="Z422">
        <v>4842179.1619999995</v>
      </c>
      <c r="AA422">
        <v>12553041.036323847</v>
      </c>
      <c r="AB422" s="9" t="s">
        <v>1850</v>
      </c>
      <c r="AC422" s="9" t="s">
        <v>1838</v>
      </c>
    </row>
    <row r="423" spans="1:29">
      <c r="A423" s="9" t="s">
        <v>1564</v>
      </c>
      <c r="B423" s="9" t="s">
        <v>69</v>
      </c>
      <c r="C423" s="9" t="s">
        <v>70</v>
      </c>
      <c r="D423" s="9" t="s">
        <v>71</v>
      </c>
      <c r="E423">
        <v>2021</v>
      </c>
      <c r="F423">
        <v>2443385</v>
      </c>
      <c r="G423">
        <v>1.8599999999999998E-2</v>
      </c>
      <c r="H423">
        <v>45446.96</v>
      </c>
      <c r="I423" s="9" t="s">
        <v>1565</v>
      </c>
      <c r="J423" s="9" t="s">
        <v>1566</v>
      </c>
      <c r="K423" s="9" t="s">
        <v>1162</v>
      </c>
      <c r="L423">
        <v>2222283</v>
      </c>
      <c r="M423" s="8">
        <v>43705</v>
      </c>
      <c r="N423" s="9" t="s">
        <v>70</v>
      </c>
      <c r="O423">
        <v>1.8599999999999998E-2</v>
      </c>
      <c r="P423">
        <v>1</v>
      </c>
      <c r="Q423" s="9" t="s">
        <v>1822</v>
      </c>
      <c r="R423" s="9" t="s">
        <v>1838</v>
      </c>
      <c r="S423" s="9" t="s">
        <v>1839</v>
      </c>
      <c r="T423" s="9" t="s">
        <v>1838</v>
      </c>
      <c r="U423" s="9" t="s">
        <v>1840</v>
      </c>
      <c r="V423" s="9" t="s">
        <v>1838</v>
      </c>
      <c r="W423" s="9" t="s">
        <v>1838</v>
      </c>
      <c r="X423" s="9" t="s">
        <v>1838</v>
      </c>
      <c r="Y423" s="9" t="s">
        <v>1841</v>
      </c>
      <c r="Z423">
        <v>4842179.1619999995</v>
      </c>
      <c r="AA423">
        <v>12553041.036323847</v>
      </c>
      <c r="AB423" s="9" t="s">
        <v>1850</v>
      </c>
      <c r="AC423" s="9" t="s">
        <v>1838</v>
      </c>
    </row>
    <row r="424" spans="1:29">
      <c r="A424" s="9" t="s">
        <v>1567</v>
      </c>
      <c r="B424" s="9" t="s">
        <v>137</v>
      </c>
      <c r="C424" s="9" t="s">
        <v>138</v>
      </c>
      <c r="D424" s="9" t="s">
        <v>58</v>
      </c>
      <c r="E424">
        <v>2021</v>
      </c>
      <c r="F424">
        <v>1270783</v>
      </c>
      <c r="G424">
        <v>9.7000000000000003E-3</v>
      </c>
      <c r="H424">
        <v>12326.6</v>
      </c>
      <c r="I424" s="9" t="s">
        <v>1568</v>
      </c>
      <c r="J424" s="9" t="s">
        <v>1569</v>
      </c>
      <c r="K424" s="9" t="s">
        <v>1191</v>
      </c>
      <c r="L424">
        <v>1565954</v>
      </c>
      <c r="M424" s="8">
        <v>44569</v>
      </c>
      <c r="N424" s="9" t="s">
        <v>138</v>
      </c>
      <c r="O424">
        <v>9.7000000000000003E-3</v>
      </c>
      <c r="P424">
        <v>1</v>
      </c>
      <c r="Q424" s="9" t="s">
        <v>1823</v>
      </c>
      <c r="R424" s="9" t="s">
        <v>1838</v>
      </c>
      <c r="S424" s="9" t="s">
        <v>1839</v>
      </c>
      <c r="T424" s="9" t="s">
        <v>1838</v>
      </c>
      <c r="U424" s="9" t="s">
        <v>1840</v>
      </c>
      <c r="V424" s="9" t="s">
        <v>1838</v>
      </c>
      <c r="W424" s="9" t="s">
        <v>1838</v>
      </c>
      <c r="X424" s="9" t="s">
        <v>1838</v>
      </c>
      <c r="Y424" s="9" t="s">
        <v>1841</v>
      </c>
      <c r="Z424">
        <v>4842179.1619999995</v>
      </c>
      <c r="AA424">
        <v>12553041.036323847</v>
      </c>
      <c r="AB424" s="9" t="s">
        <v>1850</v>
      </c>
      <c r="AC424" s="9" t="s">
        <v>1838</v>
      </c>
    </row>
    <row r="425" spans="1:29">
      <c r="A425" s="9" t="s">
        <v>1570</v>
      </c>
      <c r="B425" s="9" t="s">
        <v>63</v>
      </c>
      <c r="C425" s="9" t="s">
        <v>64</v>
      </c>
      <c r="D425" s="9" t="s">
        <v>71</v>
      </c>
      <c r="E425">
        <v>2024</v>
      </c>
      <c r="F425">
        <v>5304412</v>
      </c>
      <c r="G425">
        <v>1.8499999999999999E-2</v>
      </c>
      <c r="H425">
        <v>98131.62</v>
      </c>
      <c r="I425" s="9" t="s">
        <v>1571</v>
      </c>
      <c r="J425" s="9" t="s">
        <v>1572</v>
      </c>
      <c r="K425" s="9" t="s">
        <v>1041</v>
      </c>
      <c r="L425">
        <v>5828944</v>
      </c>
      <c r="M425" s="8">
        <v>45110</v>
      </c>
      <c r="N425" s="9" t="s">
        <v>64</v>
      </c>
      <c r="O425">
        <v>1.8499999999999999E-2</v>
      </c>
      <c r="P425">
        <v>1</v>
      </c>
      <c r="Q425" s="9" t="s">
        <v>1822</v>
      </c>
      <c r="R425" s="9" t="s">
        <v>1838</v>
      </c>
      <c r="S425" s="9" t="s">
        <v>1839</v>
      </c>
      <c r="T425" s="9" t="s">
        <v>1838</v>
      </c>
      <c r="U425" s="9" t="s">
        <v>1840</v>
      </c>
      <c r="V425" s="9" t="s">
        <v>1838</v>
      </c>
      <c r="W425" s="9" t="s">
        <v>1838</v>
      </c>
      <c r="X425" s="9" t="s">
        <v>1838</v>
      </c>
      <c r="Y425" s="9" t="s">
        <v>1841</v>
      </c>
      <c r="Z425">
        <v>4842179.1619999995</v>
      </c>
      <c r="AA425">
        <v>12553041.036323847</v>
      </c>
      <c r="AB425" s="9" t="s">
        <v>1850</v>
      </c>
      <c r="AC425" s="9" t="s">
        <v>1838</v>
      </c>
    </row>
    <row r="426" spans="1:29">
      <c r="A426" s="9" t="s">
        <v>1573</v>
      </c>
      <c r="B426" s="9" t="s">
        <v>49</v>
      </c>
      <c r="C426" s="9" t="s">
        <v>50</v>
      </c>
      <c r="D426" s="9" t="s">
        <v>82</v>
      </c>
      <c r="E426">
        <v>2022</v>
      </c>
      <c r="F426">
        <v>10800358</v>
      </c>
      <c r="G426">
        <v>1.44E-2</v>
      </c>
      <c r="H426">
        <v>155525.16</v>
      </c>
      <c r="I426" s="9" t="s">
        <v>1574</v>
      </c>
      <c r="J426" s="9" t="s">
        <v>1575</v>
      </c>
      <c r="K426" s="9" t="s">
        <v>1253</v>
      </c>
      <c r="L426">
        <v>10813721</v>
      </c>
      <c r="M426" s="8">
        <v>44151</v>
      </c>
      <c r="N426" s="9" t="s">
        <v>50</v>
      </c>
      <c r="O426">
        <v>1.44E-2</v>
      </c>
      <c r="P426">
        <v>1</v>
      </c>
      <c r="Q426" s="9" t="s">
        <v>1824</v>
      </c>
      <c r="R426" s="9" t="s">
        <v>1838</v>
      </c>
      <c r="S426" s="9" t="s">
        <v>1839</v>
      </c>
      <c r="T426" s="9" t="s">
        <v>1838</v>
      </c>
      <c r="U426" s="9" t="s">
        <v>1840</v>
      </c>
      <c r="V426" s="9" t="s">
        <v>1838</v>
      </c>
      <c r="W426" s="9" t="s">
        <v>1838</v>
      </c>
      <c r="X426" s="9" t="s">
        <v>1838</v>
      </c>
      <c r="Y426" s="9" t="s">
        <v>1841</v>
      </c>
      <c r="Z426">
        <v>4842179.1619999995</v>
      </c>
      <c r="AA426">
        <v>12553041.036323847</v>
      </c>
      <c r="AB426" s="9" t="s">
        <v>1850</v>
      </c>
      <c r="AC426" s="9" t="s">
        <v>1838</v>
      </c>
    </row>
    <row r="427" spans="1:29">
      <c r="A427" s="9" t="s">
        <v>1576</v>
      </c>
      <c r="B427" s="9" t="s">
        <v>63</v>
      </c>
      <c r="C427" s="9" t="s">
        <v>64</v>
      </c>
      <c r="D427" s="9" t="s">
        <v>51</v>
      </c>
      <c r="E427">
        <v>2024</v>
      </c>
      <c r="F427">
        <v>619664</v>
      </c>
      <c r="G427">
        <v>1.2500000000000001E-2</v>
      </c>
      <c r="H427">
        <v>7745.8</v>
      </c>
      <c r="I427" s="9" t="s">
        <v>1577</v>
      </c>
      <c r="J427" s="9" t="s">
        <v>1578</v>
      </c>
      <c r="K427" s="9" t="s">
        <v>568</v>
      </c>
      <c r="L427">
        <v>577155</v>
      </c>
      <c r="M427" s="8">
        <v>45627</v>
      </c>
      <c r="N427" s="9" t="s">
        <v>64</v>
      </c>
      <c r="O427">
        <v>1.2500000000000001E-2</v>
      </c>
      <c r="P427">
        <v>1</v>
      </c>
      <c r="Q427" s="9" t="s">
        <v>1820</v>
      </c>
      <c r="R427" s="9" t="s">
        <v>1838</v>
      </c>
      <c r="S427" s="9" t="s">
        <v>1839</v>
      </c>
      <c r="T427" s="9" t="s">
        <v>1838</v>
      </c>
      <c r="U427" s="9" t="s">
        <v>1840</v>
      </c>
      <c r="V427" s="9" t="s">
        <v>1838</v>
      </c>
      <c r="W427" s="9" t="s">
        <v>1838</v>
      </c>
      <c r="X427" s="9" t="s">
        <v>1838</v>
      </c>
      <c r="Y427" s="9" t="s">
        <v>1841</v>
      </c>
      <c r="Z427">
        <v>4842179.1619999995</v>
      </c>
      <c r="AA427">
        <v>12553041.036323847</v>
      </c>
      <c r="AB427" s="9" t="s">
        <v>1850</v>
      </c>
      <c r="AC427" s="9" t="s">
        <v>1838</v>
      </c>
    </row>
    <row r="428" spans="1:29">
      <c r="A428" s="9" t="s">
        <v>1579</v>
      </c>
      <c r="B428" s="9" t="s">
        <v>49</v>
      </c>
      <c r="C428" s="9" t="s">
        <v>50</v>
      </c>
      <c r="D428" s="9" t="s">
        <v>97</v>
      </c>
      <c r="E428">
        <v>2023</v>
      </c>
      <c r="F428">
        <v>4307998</v>
      </c>
      <c r="G428">
        <v>2.01E-2</v>
      </c>
      <c r="H428">
        <v>86590.76</v>
      </c>
      <c r="I428" s="9" t="s">
        <v>1580</v>
      </c>
      <c r="J428" s="9" t="s">
        <v>1581</v>
      </c>
      <c r="K428" s="9" t="s">
        <v>1582</v>
      </c>
      <c r="L428">
        <v>4372446</v>
      </c>
      <c r="M428" s="8">
        <v>45702</v>
      </c>
      <c r="N428" s="9" t="s">
        <v>50</v>
      </c>
      <c r="O428">
        <v>2.01E-2</v>
      </c>
      <c r="P428">
        <v>1</v>
      </c>
      <c r="Q428" s="9" t="s">
        <v>1821</v>
      </c>
      <c r="R428" s="9" t="s">
        <v>1838</v>
      </c>
      <c r="S428" s="9" t="s">
        <v>1839</v>
      </c>
      <c r="T428" s="9" t="s">
        <v>1838</v>
      </c>
      <c r="U428" s="9" t="s">
        <v>1840</v>
      </c>
      <c r="V428" s="9" t="s">
        <v>1838</v>
      </c>
      <c r="W428" s="9" t="s">
        <v>1838</v>
      </c>
      <c r="X428" s="9" t="s">
        <v>1838</v>
      </c>
      <c r="Y428" s="9" t="s">
        <v>1841</v>
      </c>
      <c r="Z428">
        <v>4842179.1619999995</v>
      </c>
      <c r="AA428">
        <v>12553041.036323847</v>
      </c>
      <c r="AB428" s="9" t="s">
        <v>1850</v>
      </c>
      <c r="AC428" s="9" t="s">
        <v>1838</v>
      </c>
    </row>
    <row r="429" spans="1:29">
      <c r="A429" s="9" t="s">
        <v>1583</v>
      </c>
      <c r="B429" s="9" t="s">
        <v>131</v>
      </c>
      <c r="C429" s="9" t="s">
        <v>132</v>
      </c>
      <c r="D429" s="9" t="s">
        <v>51</v>
      </c>
      <c r="E429">
        <v>2024</v>
      </c>
      <c r="F429">
        <v>296256</v>
      </c>
      <c r="G429">
        <v>1.2800000000000001E-2</v>
      </c>
      <c r="H429">
        <v>3792.08</v>
      </c>
      <c r="I429" s="9" t="s">
        <v>1584</v>
      </c>
      <c r="J429" s="9" t="s">
        <v>1585</v>
      </c>
      <c r="K429" s="9" t="s">
        <v>358</v>
      </c>
      <c r="L429">
        <v>279427</v>
      </c>
      <c r="M429" s="8">
        <v>44967</v>
      </c>
      <c r="N429" s="9" t="s">
        <v>132</v>
      </c>
      <c r="O429">
        <v>1.2800000000000001E-2</v>
      </c>
      <c r="P429">
        <v>1</v>
      </c>
      <c r="Q429" s="9" t="s">
        <v>1820</v>
      </c>
      <c r="R429" s="9" t="s">
        <v>1838</v>
      </c>
      <c r="S429" s="9" t="s">
        <v>1839</v>
      </c>
      <c r="T429" s="9" t="s">
        <v>1838</v>
      </c>
      <c r="U429" s="9" t="s">
        <v>1840</v>
      </c>
      <c r="V429" s="9" t="s">
        <v>1838</v>
      </c>
      <c r="W429" s="9" t="s">
        <v>1838</v>
      </c>
      <c r="X429" s="9" t="s">
        <v>1838</v>
      </c>
      <c r="Y429" s="9" t="s">
        <v>1841</v>
      </c>
      <c r="Z429">
        <v>4842179.1619999995</v>
      </c>
      <c r="AA429">
        <v>12553041.036323847</v>
      </c>
      <c r="AB429" s="9" t="s">
        <v>1850</v>
      </c>
      <c r="AC429" s="9" t="s">
        <v>1838</v>
      </c>
    </row>
    <row r="430" spans="1:29">
      <c r="A430" s="9" t="s">
        <v>1586</v>
      </c>
      <c r="B430" s="9" t="s">
        <v>87</v>
      </c>
      <c r="C430" s="9" t="s">
        <v>88</v>
      </c>
      <c r="D430" s="9" t="s">
        <v>71</v>
      </c>
      <c r="E430">
        <v>2024</v>
      </c>
      <c r="F430">
        <v>2891683</v>
      </c>
      <c r="G430">
        <v>1.8499999999999999E-2</v>
      </c>
      <c r="H430">
        <v>53496.14</v>
      </c>
      <c r="I430" s="9" t="s">
        <v>1587</v>
      </c>
      <c r="J430" s="9" t="s">
        <v>1588</v>
      </c>
      <c r="K430" s="9" t="s">
        <v>1228</v>
      </c>
      <c r="L430">
        <v>2693569</v>
      </c>
      <c r="M430" s="8">
        <v>45453</v>
      </c>
      <c r="N430" s="9" t="s">
        <v>88</v>
      </c>
      <c r="O430">
        <v>1.8499999999999999E-2</v>
      </c>
      <c r="P430">
        <v>1</v>
      </c>
      <c r="Q430" s="9" t="s">
        <v>1822</v>
      </c>
      <c r="R430" s="9" t="s">
        <v>1838</v>
      </c>
      <c r="S430" s="9" t="s">
        <v>1839</v>
      </c>
      <c r="T430" s="9" t="s">
        <v>1838</v>
      </c>
      <c r="U430" s="9" t="s">
        <v>1840</v>
      </c>
      <c r="V430" s="9" t="s">
        <v>1838</v>
      </c>
      <c r="W430" s="9" t="s">
        <v>1838</v>
      </c>
      <c r="X430" s="9" t="s">
        <v>1838</v>
      </c>
      <c r="Y430" s="9" t="s">
        <v>1841</v>
      </c>
      <c r="Z430">
        <v>4842179.1619999995</v>
      </c>
      <c r="AA430">
        <v>12553041.036323847</v>
      </c>
      <c r="AB430" s="9" t="s">
        <v>1850</v>
      </c>
      <c r="AC430" s="9" t="s">
        <v>1838</v>
      </c>
    </row>
    <row r="431" spans="1:29">
      <c r="A431" s="9" t="s">
        <v>1589</v>
      </c>
      <c r="B431" s="9" t="s">
        <v>137</v>
      </c>
      <c r="C431" s="9" t="s">
        <v>138</v>
      </c>
      <c r="D431" s="9" t="s">
        <v>97</v>
      </c>
      <c r="E431">
        <v>2022</v>
      </c>
      <c r="F431">
        <v>5316188</v>
      </c>
      <c r="G431">
        <v>1.8700000000000001E-2</v>
      </c>
      <c r="H431">
        <v>110045.09</v>
      </c>
      <c r="I431" s="9" t="s">
        <v>1590</v>
      </c>
      <c r="J431" s="9" t="s">
        <v>1591</v>
      </c>
      <c r="K431" s="9" t="s">
        <v>1141</v>
      </c>
      <c r="L431">
        <v>5811257</v>
      </c>
      <c r="M431" s="8">
        <v>44184</v>
      </c>
      <c r="N431" s="9" t="s">
        <v>138</v>
      </c>
      <c r="O431">
        <v>2.07E-2</v>
      </c>
      <c r="P431">
        <v>1</v>
      </c>
      <c r="Q431" s="9" t="s">
        <v>1821</v>
      </c>
      <c r="R431" s="9" t="s">
        <v>1838</v>
      </c>
      <c r="S431" s="9" t="s">
        <v>1839</v>
      </c>
      <c r="T431" s="9" t="s">
        <v>1838</v>
      </c>
      <c r="U431" s="9" t="s">
        <v>1840</v>
      </c>
      <c r="V431" s="9" t="s">
        <v>1838</v>
      </c>
      <c r="W431" s="9" t="s">
        <v>1838</v>
      </c>
      <c r="X431" s="9" t="s">
        <v>1838</v>
      </c>
      <c r="Y431" s="9" t="s">
        <v>1841</v>
      </c>
      <c r="Z431">
        <v>4842179.1619999995</v>
      </c>
      <c r="AA431">
        <v>12553041.036323847</v>
      </c>
      <c r="AB431" s="9" t="s">
        <v>1850</v>
      </c>
      <c r="AC431" s="9" t="s">
        <v>1838</v>
      </c>
    </row>
    <row r="432" spans="1:29">
      <c r="A432" s="9" t="s">
        <v>1592</v>
      </c>
      <c r="B432" s="9" t="s">
        <v>49</v>
      </c>
      <c r="C432" s="9" t="s">
        <v>50</v>
      </c>
      <c r="D432" s="9" t="s">
        <v>82</v>
      </c>
      <c r="E432">
        <v>2022</v>
      </c>
      <c r="F432">
        <v>185450623</v>
      </c>
      <c r="G432">
        <v>1.44E-2</v>
      </c>
      <c r="H432">
        <v>2670488.9700000002</v>
      </c>
      <c r="I432" s="9" t="s">
        <v>1593</v>
      </c>
      <c r="J432" s="9" t="s">
        <v>1594</v>
      </c>
      <c r="K432" s="9" t="s">
        <v>346</v>
      </c>
      <c r="L432">
        <v>11482221</v>
      </c>
      <c r="M432" s="8">
        <v>43678</v>
      </c>
      <c r="N432" s="9" t="s">
        <v>50</v>
      </c>
      <c r="O432">
        <v>1.44E-2</v>
      </c>
      <c r="P432">
        <v>1</v>
      </c>
      <c r="Q432" s="9" t="s">
        <v>1824</v>
      </c>
      <c r="R432" s="9" t="s">
        <v>1838</v>
      </c>
      <c r="S432" s="9" t="s">
        <v>1839</v>
      </c>
      <c r="T432" s="9" t="s">
        <v>1838</v>
      </c>
      <c r="U432" s="9" t="s">
        <v>1840</v>
      </c>
      <c r="V432" s="9" t="s">
        <v>1838</v>
      </c>
      <c r="W432" s="9" t="s">
        <v>1838</v>
      </c>
      <c r="X432" s="9" t="s">
        <v>1838</v>
      </c>
      <c r="Y432" s="9" t="s">
        <v>1841</v>
      </c>
      <c r="Z432">
        <v>4842179.1619999995</v>
      </c>
      <c r="AA432">
        <v>12553041.036323847</v>
      </c>
      <c r="AB432" s="9" t="s">
        <v>1851</v>
      </c>
      <c r="AC432" s="9" t="s">
        <v>1843</v>
      </c>
    </row>
    <row r="433" spans="1:29">
      <c r="A433" s="9" t="s">
        <v>1595</v>
      </c>
      <c r="B433" s="9" t="s">
        <v>150</v>
      </c>
      <c r="C433" s="9" t="s">
        <v>151</v>
      </c>
      <c r="D433" s="9" t="s">
        <v>58</v>
      </c>
      <c r="E433">
        <v>2024</v>
      </c>
      <c r="F433">
        <v>1163326</v>
      </c>
      <c r="G433">
        <v>9.2999999999999992E-3</v>
      </c>
      <c r="H433">
        <v>10818.93</v>
      </c>
      <c r="I433" s="9" t="s">
        <v>1596</v>
      </c>
      <c r="J433" s="9" t="s">
        <v>1597</v>
      </c>
      <c r="K433" s="9" t="s">
        <v>1598</v>
      </c>
      <c r="L433">
        <v>1126231</v>
      </c>
      <c r="M433" s="8">
        <v>44364</v>
      </c>
      <c r="N433" s="9" t="s">
        <v>151</v>
      </c>
      <c r="O433">
        <v>9.2999999999999992E-3</v>
      </c>
      <c r="P433">
        <v>1</v>
      </c>
      <c r="Q433" s="9" t="s">
        <v>1823</v>
      </c>
      <c r="R433" s="9" t="s">
        <v>1838</v>
      </c>
      <c r="S433" s="9" t="s">
        <v>1839</v>
      </c>
      <c r="T433" s="9" t="s">
        <v>1838</v>
      </c>
      <c r="U433" s="9" t="s">
        <v>1840</v>
      </c>
      <c r="V433" s="9" t="s">
        <v>1838</v>
      </c>
      <c r="W433" s="9" t="s">
        <v>1838</v>
      </c>
      <c r="X433" s="9" t="s">
        <v>1838</v>
      </c>
      <c r="Y433" s="9" t="s">
        <v>1841</v>
      </c>
      <c r="Z433">
        <v>4842179.1619999995</v>
      </c>
      <c r="AA433">
        <v>12553041.036323847</v>
      </c>
      <c r="AB433" s="9" t="s">
        <v>1850</v>
      </c>
      <c r="AC433" s="9" t="s">
        <v>1838</v>
      </c>
    </row>
    <row r="434" spans="1:29">
      <c r="A434" s="9" t="s">
        <v>1599</v>
      </c>
      <c r="B434" s="9" t="s">
        <v>87</v>
      </c>
      <c r="C434" s="9" t="s">
        <v>84</v>
      </c>
      <c r="D434" s="9" t="s">
        <v>51</v>
      </c>
      <c r="E434">
        <v>2022</v>
      </c>
      <c r="F434">
        <v>1347444</v>
      </c>
      <c r="G434">
        <v>1.2500000000000001E-2</v>
      </c>
      <c r="H434">
        <v>16843.05</v>
      </c>
      <c r="I434" s="9" t="s">
        <v>1600</v>
      </c>
      <c r="J434" s="9" t="s">
        <v>1601</v>
      </c>
      <c r="K434" s="9" t="s">
        <v>1602</v>
      </c>
      <c r="L434">
        <v>1609088</v>
      </c>
      <c r="M434" s="8">
        <v>44478</v>
      </c>
      <c r="N434" s="9" t="s">
        <v>88</v>
      </c>
      <c r="O434">
        <v>1.2500000000000001E-2</v>
      </c>
      <c r="P434">
        <v>1</v>
      </c>
      <c r="Q434" s="9" t="s">
        <v>1820</v>
      </c>
      <c r="R434" s="9" t="s">
        <v>1838</v>
      </c>
      <c r="S434" s="9" t="s">
        <v>1845</v>
      </c>
      <c r="T434" s="9" t="s">
        <v>1838</v>
      </c>
      <c r="U434" s="9" t="s">
        <v>1840</v>
      </c>
      <c r="V434" s="9" t="s">
        <v>1838</v>
      </c>
      <c r="W434" s="9" t="s">
        <v>1838</v>
      </c>
      <c r="X434" s="9" t="s">
        <v>1838</v>
      </c>
      <c r="Y434" s="9" t="s">
        <v>1841</v>
      </c>
      <c r="Z434">
        <v>4842179.1619999995</v>
      </c>
      <c r="AA434">
        <v>12553041.036323847</v>
      </c>
      <c r="AB434" s="9" t="s">
        <v>1850</v>
      </c>
      <c r="AC434" s="9" t="s">
        <v>1843</v>
      </c>
    </row>
    <row r="435" spans="1:29">
      <c r="A435" s="9" t="s">
        <v>1605</v>
      </c>
      <c r="B435" s="9" t="s">
        <v>678</v>
      </c>
      <c r="C435" s="9" t="s">
        <v>50</v>
      </c>
      <c r="D435" s="9" t="s">
        <v>97</v>
      </c>
      <c r="E435">
        <v>2021</v>
      </c>
      <c r="F435">
        <v>4620726</v>
      </c>
      <c r="G435">
        <v>2.01E-2</v>
      </c>
      <c r="H435">
        <v>92876.59</v>
      </c>
      <c r="I435" s="9" t="s">
        <v>1606</v>
      </c>
      <c r="J435" s="9" t="s">
        <v>1607</v>
      </c>
      <c r="K435" s="9" t="s">
        <v>802</v>
      </c>
      <c r="L435">
        <v>5156988</v>
      </c>
      <c r="M435" s="8">
        <v>45149</v>
      </c>
      <c r="N435" s="9"/>
      <c r="P435">
        <v>1</v>
      </c>
      <c r="Q435" s="9" t="s">
        <v>1821</v>
      </c>
      <c r="R435" s="9" t="s">
        <v>1842</v>
      </c>
      <c r="S435" s="9" t="s">
        <v>1845</v>
      </c>
      <c r="T435" s="9" t="s">
        <v>1845</v>
      </c>
      <c r="U435" s="9" t="s">
        <v>1840</v>
      </c>
      <c r="V435" s="9" t="s">
        <v>1838</v>
      </c>
      <c r="W435" s="9" t="s">
        <v>1838</v>
      </c>
      <c r="X435" s="9" t="s">
        <v>1838</v>
      </c>
      <c r="Y435" s="9" t="s">
        <v>1841</v>
      </c>
      <c r="Z435">
        <v>4842179.1619999995</v>
      </c>
      <c r="AA435">
        <v>12553041.036323847</v>
      </c>
      <c r="AB435" s="9" t="s">
        <v>1850</v>
      </c>
      <c r="AC435" s="9" t="s">
        <v>1843</v>
      </c>
    </row>
    <row r="436" spans="1:29">
      <c r="A436" s="9" t="s">
        <v>1608</v>
      </c>
      <c r="B436" s="9" t="s">
        <v>613</v>
      </c>
      <c r="C436" s="9" t="s">
        <v>50</v>
      </c>
      <c r="D436" s="9" t="s">
        <v>82</v>
      </c>
      <c r="E436">
        <v>2021</v>
      </c>
      <c r="F436">
        <v>6576664</v>
      </c>
      <c r="G436">
        <v>1.47E-2</v>
      </c>
      <c r="H436">
        <v>96676.96</v>
      </c>
      <c r="I436" s="9" t="s">
        <v>1609</v>
      </c>
      <c r="J436" s="9" t="s">
        <v>1610</v>
      </c>
      <c r="K436" s="9" t="s">
        <v>642</v>
      </c>
      <c r="L436">
        <v>7288991</v>
      </c>
      <c r="M436" s="8">
        <v>43742</v>
      </c>
      <c r="N436" s="9"/>
      <c r="P436">
        <v>1</v>
      </c>
      <c r="Q436" s="9" t="s">
        <v>1824</v>
      </c>
      <c r="R436" s="9" t="s">
        <v>1842</v>
      </c>
      <c r="S436" s="9" t="s">
        <v>1845</v>
      </c>
      <c r="T436" s="9" t="s">
        <v>1845</v>
      </c>
      <c r="U436" s="9" t="s">
        <v>1840</v>
      </c>
      <c r="V436" s="9" t="s">
        <v>1838</v>
      </c>
      <c r="W436" s="9" t="s">
        <v>1838</v>
      </c>
      <c r="X436" s="9" t="s">
        <v>1838</v>
      </c>
      <c r="Y436" s="9" t="s">
        <v>1841</v>
      </c>
      <c r="Z436">
        <v>4842179.1619999995</v>
      </c>
      <c r="AA436">
        <v>12553041.036323847</v>
      </c>
      <c r="AB436" s="9" t="s">
        <v>1850</v>
      </c>
      <c r="AC436" s="9" t="s">
        <v>1843</v>
      </c>
    </row>
    <row r="437" spans="1:29">
      <c r="A437" s="9" t="s">
        <v>1611</v>
      </c>
      <c r="B437" s="9" t="s">
        <v>87</v>
      </c>
      <c r="C437" s="9" t="s">
        <v>88</v>
      </c>
      <c r="D437" s="9" t="s">
        <v>97</v>
      </c>
      <c r="E437">
        <v>2022</v>
      </c>
      <c r="F437">
        <v>3079520</v>
      </c>
      <c r="G437">
        <v>2.0500000000000001E-2</v>
      </c>
      <c r="H437">
        <v>63130.16</v>
      </c>
      <c r="I437" s="9" t="s">
        <v>1612</v>
      </c>
      <c r="J437" s="9" t="s">
        <v>1613</v>
      </c>
      <c r="K437" s="9" t="s">
        <v>1614</v>
      </c>
      <c r="L437">
        <v>3806008</v>
      </c>
      <c r="M437" s="8">
        <v>44931</v>
      </c>
      <c r="N437" s="9" t="s">
        <v>88</v>
      </c>
      <c r="O437">
        <v>2.0500000000000001E-2</v>
      </c>
      <c r="P437">
        <v>1</v>
      </c>
      <c r="Q437" s="9" t="s">
        <v>1821</v>
      </c>
      <c r="R437" s="9" t="s">
        <v>1838</v>
      </c>
      <c r="S437" s="9" t="s">
        <v>1839</v>
      </c>
      <c r="T437" s="9" t="s">
        <v>1838</v>
      </c>
      <c r="U437" s="9" t="s">
        <v>1840</v>
      </c>
      <c r="V437" s="9" t="s">
        <v>1838</v>
      </c>
      <c r="W437" s="9" t="s">
        <v>1838</v>
      </c>
      <c r="X437" s="9" t="s">
        <v>1838</v>
      </c>
      <c r="Y437" s="9" t="s">
        <v>1841</v>
      </c>
      <c r="Z437">
        <v>4842179.1619999995</v>
      </c>
      <c r="AA437">
        <v>12553041.036323847</v>
      </c>
      <c r="AB437" s="9" t="s">
        <v>1850</v>
      </c>
      <c r="AC437" s="9" t="s">
        <v>1838</v>
      </c>
    </row>
    <row r="438" spans="1:29">
      <c r="A438" s="9" t="s">
        <v>1615</v>
      </c>
      <c r="B438" s="9" t="s">
        <v>137</v>
      </c>
      <c r="C438" s="9" t="s">
        <v>138</v>
      </c>
      <c r="D438" s="9" t="s">
        <v>82</v>
      </c>
      <c r="E438">
        <v>2022</v>
      </c>
      <c r="F438">
        <v>3687577</v>
      </c>
      <c r="G438">
        <v>1.4999999999999999E-2</v>
      </c>
      <c r="H438">
        <v>55313.65</v>
      </c>
      <c r="I438" s="9" t="s">
        <v>1616</v>
      </c>
      <c r="J438" s="9" t="s">
        <v>1617</v>
      </c>
      <c r="K438" s="9" t="s">
        <v>385</v>
      </c>
      <c r="L438">
        <v>3863553</v>
      </c>
      <c r="M438" s="8">
        <v>44266</v>
      </c>
      <c r="N438" s="9" t="s">
        <v>138</v>
      </c>
      <c r="O438">
        <v>1.4999999999999999E-2</v>
      </c>
      <c r="P438">
        <v>1</v>
      </c>
      <c r="Q438" s="9" t="s">
        <v>1824</v>
      </c>
      <c r="R438" s="9" t="s">
        <v>1838</v>
      </c>
      <c r="S438" s="9" t="s">
        <v>1839</v>
      </c>
      <c r="T438" s="9" t="s">
        <v>1838</v>
      </c>
      <c r="U438" s="9" t="s">
        <v>1840</v>
      </c>
      <c r="V438" s="9" t="s">
        <v>1838</v>
      </c>
      <c r="W438" s="9" t="s">
        <v>1838</v>
      </c>
      <c r="X438" s="9" t="s">
        <v>1838</v>
      </c>
      <c r="Y438" s="9" t="s">
        <v>1841</v>
      </c>
      <c r="Z438">
        <v>4842179.1619999995</v>
      </c>
      <c r="AA438">
        <v>12553041.036323847</v>
      </c>
      <c r="AB438" s="9" t="s">
        <v>1850</v>
      </c>
      <c r="AC438" s="9" t="s">
        <v>1838</v>
      </c>
    </row>
    <row r="439" spans="1:29">
      <c r="A439" s="9" t="s">
        <v>1618</v>
      </c>
      <c r="B439" s="9" t="s">
        <v>613</v>
      </c>
      <c r="C439" s="9" t="s">
        <v>64</v>
      </c>
      <c r="D439" s="9" t="s">
        <v>97</v>
      </c>
      <c r="E439">
        <v>2021</v>
      </c>
      <c r="F439">
        <v>2064686</v>
      </c>
      <c r="G439">
        <v>2.0400000000000001E-2</v>
      </c>
      <c r="H439">
        <v>42119.59</v>
      </c>
      <c r="I439" s="9" t="s">
        <v>1619</v>
      </c>
      <c r="J439" s="9" t="s">
        <v>1620</v>
      </c>
      <c r="K439" s="9" t="s">
        <v>362</v>
      </c>
      <c r="L439">
        <v>2016769</v>
      </c>
      <c r="M439" s="8">
        <v>43481</v>
      </c>
      <c r="N439" s="9"/>
      <c r="P439">
        <v>1</v>
      </c>
      <c r="Q439" s="9" t="s">
        <v>1821</v>
      </c>
      <c r="R439" s="9" t="s">
        <v>1842</v>
      </c>
      <c r="S439" s="9" t="s">
        <v>1845</v>
      </c>
      <c r="T439" s="9" t="s">
        <v>1845</v>
      </c>
      <c r="U439" s="9" t="s">
        <v>1840</v>
      </c>
      <c r="V439" s="9" t="s">
        <v>1838</v>
      </c>
      <c r="W439" s="9" t="s">
        <v>1838</v>
      </c>
      <c r="X439" s="9" t="s">
        <v>1838</v>
      </c>
      <c r="Y439" s="9" t="s">
        <v>1841</v>
      </c>
      <c r="Z439">
        <v>4842179.1619999995</v>
      </c>
      <c r="AA439">
        <v>12553041.036323847</v>
      </c>
      <c r="AB439" s="9" t="s">
        <v>1850</v>
      </c>
      <c r="AC439" s="9" t="s">
        <v>1843</v>
      </c>
    </row>
    <row r="440" spans="1:29">
      <c r="A440" s="9" t="s">
        <v>1621</v>
      </c>
      <c r="B440" s="9" t="s">
        <v>76</v>
      </c>
      <c r="C440" s="9" t="s">
        <v>77</v>
      </c>
      <c r="D440" s="9" t="s">
        <v>97</v>
      </c>
      <c r="E440">
        <v>2024</v>
      </c>
      <c r="F440">
        <v>3025878</v>
      </c>
      <c r="G440">
        <v>2.0400000000000001E-2</v>
      </c>
      <c r="H440">
        <v>61727.91</v>
      </c>
      <c r="I440" s="9" t="s">
        <v>1622</v>
      </c>
      <c r="J440" s="9" t="s">
        <v>1623</v>
      </c>
      <c r="K440" s="9" t="s">
        <v>1041</v>
      </c>
      <c r="L440">
        <v>3189708</v>
      </c>
      <c r="M440" s="8">
        <v>45489</v>
      </c>
      <c r="N440" s="9" t="s">
        <v>77</v>
      </c>
      <c r="O440">
        <v>2.0400000000000001E-2</v>
      </c>
      <c r="P440">
        <v>1</v>
      </c>
      <c r="Q440" s="9" t="s">
        <v>1821</v>
      </c>
      <c r="R440" s="9" t="s">
        <v>1838</v>
      </c>
      <c r="S440" s="9" t="s">
        <v>1839</v>
      </c>
      <c r="T440" s="9" t="s">
        <v>1838</v>
      </c>
      <c r="U440" s="9" t="s">
        <v>1840</v>
      </c>
      <c r="V440" s="9" t="s">
        <v>1838</v>
      </c>
      <c r="W440" s="9" t="s">
        <v>1838</v>
      </c>
      <c r="X440" s="9" t="s">
        <v>1838</v>
      </c>
      <c r="Y440" s="9" t="s">
        <v>1841</v>
      </c>
      <c r="Z440">
        <v>4842179.1619999995</v>
      </c>
      <c r="AA440">
        <v>12553041.036323847</v>
      </c>
      <c r="AB440" s="9" t="s">
        <v>1850</v>
      </c>
      <c r="AC440" s="9" t="s">
        <v>1838</v>
      </c>
    </row>
    <row r="441" spans="1:29">
      <c r="A441" s="9" t="s">
        <v>1624</v>
      </c>
      <c r="B441" s="9" t="s">
        <v>87</v>
      </c>
      <c r="C441" s="9" t="s">
        <v>88</v>
      </c>
      <c r="D441" s="9" t="s">
        <v>71</v>
      </c>
      <c r="E441">
        <v>2021</v>
      </c>
      <c r="F441">
        <v>10426160</v>
      </c>
      <c r="G441">
        <v>1.8499999999999999E-2</v>
      </c>
      <c r="H441">
        <v>192883.96</v>
      </c>
      <c r="I441" s="9" t="s">
        <v>1625</v>
      </c>
      <c r="J441" s="9" t="s">
        <v>1626</v>
      </c>
      <c r="K441" s="9" t="s">
        <v>74</v>
      </c>
      <c r="L441">
        <v>9752803</v>
      </c>
      <c r="M441" s="8">
        <v>44028</v>
      </c>
      <c r="N441" s="9" t="s">
        <v>88</v>
      </c>
      <c r="O441">
        <v>1.8499999999999999E-2</v>
      </c>
      <c r="P441">
        <v>1</v>
      </c>
      <c r="Q441" s="9" t="s">
        <v>1822</v>
      </c>
      <c r="R441" s="9" t="s">
        <v>1838</v>
      </c>
      <c r="S441" s="9" t="s">
        <v>1839</v>
      </c>
      <c r="T441" s="9" t="s">
        <v>1838</v>
      </c>
      <c r="U441" s="9" t="s">
        <v>1840</v>
      </c>
      <c r="V441" s="9" t="s">
        <v>1838</v>
      </c>
      <c r="W441" s="9" t="s">
        <v>1838</v>
      </c>
      <c r="X441" s="9" t="s">
        <v>1838</v>
      </c>
      <c r="Y441" s="9" t="s">
        <v>1841</v>
      </c>
      <c r="Z441">
        <v>4842179.1619999995</v>
      </c>
      <c r="AA441">
        <v>12553041.036323847</v>
      </c>
      <c r="AB441" s="9" t="s">
        <v>1850</v>
      </c>
      <c r="AC441" s="9" t="s">
        <v>1838</v>
      </c>
    </row>
    <row r="442" spans="1:29">
      <c r="A442" s="9" t="s">
        <v>1627</v>
      </c>
      <c r="B442" s="9" t="s">
        <v>69</v>
      </c>
      <c r="C442" s="9" t="s">
        <v>70</v>
      </c>
      <c r="D442" s="9" t="s">
        <v>51</v>
      </c>
      <c r="E442">
        <v>2023</v>
      </c>
      <c r="F442">
        <v>1239464</v>
      </c>
      <c r="G442">
        <v>1.26E-2</v>
      </c>
      <c r="H442">
        <v>15617.25</v>
      </c>
      <c r="I442" s="9" t="s">
        <v>1628</v>
      </c>
      <c r="J442" s="9" t="s">
        <v>1629</v>
      </c>
      <c r="K442" s="9" t="s">
        <v>1630</v>
      </c>
      <c r="L442">
        <v>1198671</v>
      </c>
      <c r="M442" s="8">
        <v>44605</v>
      </c>
      <c r="N442" s="9" t="s">
        <v>70</v>
      </c>
      <c r="O442">
        <v>1.26E-2</v>
      </c>
      <c r="P442">
        <v>1</v>
      </c>
      <c r="Q442" s="9" t="s">
        <v>1820</v>
      </c>
      <c r="R442" s="9" t="s">
        <v>1838</v>
      </c>
      <c r="S442" s="9" t="s">
        <v>1839</v>
      </c>
      <c r="T442" s="9" t="s">
        <v>1838</v>
      </c>
      <c r="U442" s="9" t="s">
        <v>1840</v>
      </c>
      <c r="V442" s="9" t="s">
        <v>1838</v>
      </c>
      <c r="W442" s="9" t="s">
        <v>1838</v>
      </c>
      <c r="X442" s="9" t="s">
        <v>1838</v>
      </c>
      <c r="Y442" s="9" t="s">
        <v>1841</v>
      </c>
      <c r="Z442">
        <v>4842179.1619999995</v>
      </c>
      <c r="AA442">
        <v>12553041.036323847</v>
      </c>
      <c r="AB442" s="9" t="s">
        <v>1850</v>
      </c>
      <c r="AC442" s="9" t="s">
        <v>1838</v>
      </c>
    </row>
    <row r="443" spans="1:29">
      <c r="A443" s="9" t="s">
        <v>1631</v>
      </c>
      <c r="B443" s="9" t="s">
        <v>150</v>
      </c>
      <c r="C443" s="9" t="s">
        <v>151</v>
      </c>
      <c r="D443" s="9" t="s">
        <v>71</v>
      </c>
      <c r="E443">
        <v>2024</v>
      </c>
      <c r="F443">
        <v>10480391</v>
      </c>
      <c r="G443">
        <v>1.83E-2</v>
      </c>
      <c r="H443">
        <v>191791.16</v>
      </c>
      <c r="I443" s="9" t="s">
        <v>1632</v>
      </c>
      <c r="J443" s="9" t="s">
        <v>1633</v>
      </c>
      <c r="K443" s="9" t="s">
        <v>1253</v>
      </c>
      <c r="L443">
        <v>12984518</v>
      </c>
      <c r="M443" s="8">
        <v>46643</v>
      </c>
      <c r="N443" s="9" t="s">
        <v>151</v>
      </c>
      <c r="O443">
        <v>1.83E-2</v>
      </c>
      <c r="P443">
        <v>1</v>
      </c>
      <c r="Q443" s="9" t="s">
        <v>1822</v>
      </c>
      <c r="R443" s="9" t="s">
        <v>1838</v>
      </c>
      <c r="S443" s="9" t="s">
        <v>1839</v>
      </c>
      <c r="T443" s="9" t="s">
        <v>1838</v>
      </c>
      <c r="U443" s="9" t="s">
        <v>1840</v>
      </c>
      <c r="V443" s="9" t="s">
        <v>1838</v>
      </c>
      <c r="W443" s="9" t="s">
        <v>1838</v>
      </c>
      <c r="X443" s="9" t="s">
        <v>1842</v>
      </c>
      <c r="Y443" s="9" t="s">
        <v>1841</v>
      </c>
      <c r="Z443">
        <v>4842179.1619999995</v>
      </c>
      <c r="AA443">
        <v>12553041.036323847</v>
      </c>
      <c r="AB443" s="9" t="s">
        <v>1850</v>
      </c>
      <c r="AC443" s="9" t="s">
        <v>1843</v>
      </c>
    </row>
    <row r="444" spans="1:29">
      <c r="A444" s="9" t="s">
        <v>1634</v>
      </c>
      <c r="B444" s="9" t="s">
        <v>76</v>
      </c>
      <c r="C444" s="9" t="s">
        <v>77</v>
      </c>
      <c r="D444" s="9" t="s">
        <v>51</v>
      </c>
      <c r="E444">
        <v>2024</v>
      </c>
      <c r="F444">
        <v>1028762</v>
      </c>
      <c r="G444">
        <v>1.24E-2</v>
      </c>
      <c r="H444">
        <v>12756.65</v>
      </c>
      <c r="I444" s="9" t="s">
        <v>1635</v>
      </c>
      <c r="J444" s="9" t="s">
        <v>583</v>
      </c>
      <c r="K444" s="9" t="s">
        <v>1636</v>
      </c>
      <c r="L444">
        <v>1175956</v>
      </c>
      <c r="M444" s="8">
        <v>45662</v>
      </c>
      <c r="N444" s="9" t="s">
        <v>77</v>
      </c>
      <c r="O444">
        <v>1.24E-2</v>
      </c>
      <c r="P444">
        <v>1</v>
      </c>
      <c r="Q444" s="9" t="s">
        <v>1820</v>
      </c>
      <c r="R444" s="9" t="s">
        <v>1838</v>
      </c>
      <c r="S444" s="9" t="s">
        <v>1839</v>
      </c>
      <c r="T444" s="9" t="s">
        <v>1838</v>
      </c>
      <c r="U444" s="9" t="s">
        <v>1840</v>
      </c>
      <c r="V444" s="9" t="s">
        <v>1842</v>
      </c>
      <c r="W444" s="9" t="s">
        <v>1838</v>
      </c>
      <c r="X444" s="9" t="s">
        <v>1838</v>
      </c>
      <c r="Y444" s="9" t="s">
        <v>1841</v>
      </c>
      <c r="Z444">
        <v>4842179.1619999995</v>
      </c>
      <c r="AA444">
        <v>12553041.036323847</v>
      </c>
      <c r="AB444" s="9" t="s">
        <v>1850</v>
      </c>
      <c r="AC444" s="9" t="s">
        <v>1843</v>
      </c>
    </row>
    <row r="445" spans="1:29">
      <c r="A445" s="9" t="s">
        <v>1637</v>
      </c>
      <c r="B445" s="9" t="s">
        <v>101</v>
      </c>
      <c r="C445" s="9" t="s">
        <v>102</v>
      </c>
      <c r="D445" s="9" t="s">
        <v>58</v>
      </c>
      <c r="E445">
        <v>2023</v>
      </c>
      <c r="F445">
        <v>1965652</v>
      </c>
      <c r="G445">
        <v>9.9000000000000008E-3</v>
      </c>
      <c r="H445">
        <v>19459.95</v>
      </c>
      <c r="I445" s="9" t="s">
        <v>1638</v>
      </c>
      <c r="J445" s="9" t="s">
        <v>1639</v>
      </c>
      <c r="K445" s="9" t="s">
        <v>739</v>
      </c>
      <c r="L445">
        <v>1877243</v>
      </c>
      <c r="M445" s="8">
        <v>45556</v>
      </c>
      <c r="N445" s="9" t="s">
        <v>102</v>
      </c>
      <c r="O445">
        <v>9.9000000000000008E-3</v>
      </c>
      <c r="P445">
        <v>1</v>
      </c>
      <c r="Q445" s="9" t="s">
        <v>1823</v>
      </c>
      <c r="R445" s="9" t="s">
        <v>1838</v>
      </c>
      <c r="S445" s="9" t="s">
        <v>1839</v>
      </c>
      <c r="T445" s="9" t="s">
        <v>1838</v>
      </c>
      <c r="U445" s="9" t="s">
        <v>1840</v>
      </c>
      <c r="V445" s="9" t="s">
        <v>1838</v>
      </c>
      <c r="W445" s="9" t="s">
        <v>1838</v>
      </c>
      <c r="X445" s="9" t="s">
        <v>1838</v>
      </c>
      <c r="Y445" s="9" t="s">
        <v>1841</v>
      </c>
      <c r="Z445">
        <v>4842179.1619999995</v>
      </c>
      <c r="AA445">
        <v>12553041.036323847</v>
      </c>
      <c r="AB445" s="9" t="s">
        <v>1850</v>
      </c>
      <c r="AC445" s="9" t="s">
        <v>1838</v>
      </c>
    </row>
    <row r="446" spans="1:29">
      <c r="A446" s="9" t="s">
        <v>1640</v>
      </c>
      <c r="B446" s="9" t="s">
        <v>150</v>
      </c>
      <c r="C446" s="9" t="s">
        <v>151</v>
      </c>
      <c r="D446" s="9" t="s">
        <v>71</v>
      </c>
      <c r="E446">
        <v>2021</v>
      </c>
      <c r="F446">
        <v>2595382</v>
      </c>
      <c r="G446">
        <v>1.83E-2</v>
      </c>
      <c r="H446">
        <v>47495.49</v>
      </c>
      <c r="I446" s="9" t="s">
        <v>1641</v>
      </c>
      <c r="J446" s="9" t="s">
        <v>1642</v>
      </c>
      <c r="K446" s="9" t="s">
        <v>1643</v>
      </c>
      <c r="L446">
        <v>2669686</v>
      </c>
      <c r="M446" s="8">
        <v>46470</v>
      </c>
      <c r="N446" s="9" t="s">
        <v>151</v>
      </c>
      <c r="O446">
        <v>1.83E-2</v>
      </c>
      <c r="P446">
        <v>1</v>
      </c>
      <c r="Q446" s="9" t="s">
        <v>1822</v>
      </c>
      <c r="R446" s="9" t="s">
        <v>1838</v>
      </c>
      <c r="S446" s="9" t="s">
        <v>1839</v>
      </c>
      <c r="T446" s="9" t="s">
        <v>1838</v>
      </c>
      <c r="U446" s="9" t="s">
        <v>1840</v>
      </c>
      <c r="V446" s="9" t="s">
        <v>1838</v>
      </c>
      <c r="W446" s="9" t="s">
        <v>1838</v>
      </c>
      <c r="X446" s="9" t="s">
        <v>1842</v>
      </c>
      <c r="Y446" s="9" t="s">
        <v>1841</v>
      </c>
      <c r="Z446">
        <v>4842179.1619999995</v>
      </c>
      <c r="AA446">
        <v>12553041.036323847</v>
      </c>
      <c r="AB446" s="9" t="s">
        <v>1850</v>
      </c>
      <c r="AC446" s="9" t="s">
        <v>1843</v>
      </c>
    </row>
    <row r="447" spans="1:29">
      <c r="A447" s="9" t="s">
        <v>1644</v>
      </c>
      <c r="B447" s="9" t="s">
        <v>150</v>
      </c>
      <c r="C447" s="9" t="s">
        <v>151</v>
      </c>
      <c r="D447" s="9" t="s">
        <v>71</v>
      </c>
      <c r="E447">
        <v>2024</v>
      </c>
      <c r="F447">
        <v>1455948</v>
      </c>
      <c r="G447">
        <v>1.83E-2</v>
      </c>
      <c r="H447">
        <v>26643.85</v>
      </c>
      <c r="I447" s="9" t="s">
        <v>1645</v>
      </c>
      <c r="J447" s="9" t="s">
        <v>1646</v>
      </c>
      <c r="K447" s="9" t="s">
        <v>564</v>
      </c>
      <c r="L447">
        <v>1329861</v>
      </c>
      <c r="M447" s="8">
        <v>44607</v>
      </c>
      <c r="N447" s="9" t="s">
        <v>151</v>
      </c>
      <c r="O447">
        <v>1.83E-2</v>
      </c>
      <c r="P447">
        <v>1</v>
      </c>
      <c r="Q447" s="9" t="s">
        <v>1822</v>
      </c>
      <c r="R447" s="9" t="s">
        <v>1838</v>
      </c>
      <c r="S447" s="9" t="s">
        <v>1839</v>
      </c>
      <c r="T447" s="9" t="s">
        <v>1838</v>
      </c>
      <c r="U447" s="9" t="s">
        <v>1840</v>
      </c>
      <c r="V447" s="9" t="s">
        <v>1838</v>
      </c>
      <c r="W447" s="9" t="s">
        <v>1838</v>
      </c>
      <c r="X447" s="9" t="s">
        <v>1838</v>
      </c>
      <c r="Y447" s="9" t="s">
        <v>1841</v>
      </c>
      <c r="Z447">
        <v>4842179.1619999995</v>
      </c>
      <c r="AA447">
        <v>12553041.036323847</v>
      </c>
      <c r="AB447" s="9" t="s">
        <v>1850</v>
      </c>
      <c r="AC447" s="9" t="s">
        <v>1838</v>
      </c>
    </row>
    <row r="448" spans="1:29">
      <c r="A448" s="9" t="s">
        <v>1647</v>
      </c>
      <c r="B448" s="9" t="s">
        <v>150</v>
      </c>
      <c r="C448" s="9" t="s">
        <v>151</v>
      </c>
      <c r="D448" s="9" t="s">
        <v>97</v>
      </c>
      <c r="E448">
        <v>2023</v>
      </c>
      <c r="F448">
        <v>1800066</v>
      </c>
      <c r="G448">
        <v>2.0299999999999999E-2</v>
      </c>
      <c r="H448">
        <v>36541.339999999997</v>
      </c>
      <c r="I448" s="9" t="s">
        <v>1648</v>
      </c>
      <c r="J448" s="9" t="s">
        <v>1649</v>
      </c>
      <c r="K448" s="9" t="s">
        <v>965</v>
      </c>
      <c r="L448">
        <v>2215945</v>
      </c>
      <c r="M448" s="8">
        <v>45514</v>
      </c>
      <c r="N448" s="9" t="s">
        <v>151</v>
      </c>
      <c r="O448">
        <v>2.0299999999999999E-2</v>
      </c>
      <c r="P448">
        <v>1</v>
      </c>
      <c r="Q448" s="9" t="s">
        <v>1821</v>
      </c>
      <c r="R448" s="9" t="s">
        <v>1838</v>
      </c>
      <c r="S448" s="9" t="s">
        <v>1839</v>
      </c>
      <c r="T448" s="9" t="s">
        <v>1838</v>
      </c>
      <c r="U448" s="9" t="s">
        <v>1840</v>
      </c>
      <c r="V448" s="9" t="s">
        <v>1838</v>
      </c>
      <c r="W448" s="9" t="s">
        <v>1838</v>
      </c>
      <c r="X448" s="9" t="s">
        <v>1838</v>
      </c>
      <c r="Y448" s="9" t="s">
        <v>1841</v>
      </c>
      <c r="Z448">
        <v>4842179.1619999995</v>
      </c>
      <c r="AA448">
        <v>12553041.036323847</v>
      </c>
      <c r="AB448" s="9" t="s">
        <v>1850</v>
      </c>
      <c r="AC448" s="9" t="s">
        <v>1838</v>
      </c>
    </row>
    <row r="449" spans="1:29">
      <c r="A449" s="9" t="s">
        <v>1650</v>
      </c>
      <c r="B449" s="9" t="s">
        <v>87</v>
      </c>
      <c r="C449" s="9" t="s">
        <v>88</v>
      </c>
      <c r="D449" s="9" t="s">
        <v>51</v>
      </c>
      <c r="E449">
        <v>2024</v>
      </c>
      <c r="F449">
        <v>893759</v>
      </c>
      <c r="G449">
        <v>1.2500000000000001E-2</v>
      </c>
      <c r="H449">
        <v>11171.99</v>
      </c>
      <c r="I449" s="9" t="s">
        <v>1651</v>
      </c>
      <c r="J449" s="9" t="s">
        <v>1652</v>
      </c>
      <c r="K449" s="9" t="s">
        <v>280</v>
      </c>
      <c r="L449">
        <v>1052106</v>
      </c>
      <c r="M449" s="8">
        <v>44838</v>
      </c>
      <c r="N449" s="9" t="s">
        <v>88</v>
      </c>
      <c r="O449">
        <v>1.2500000000000001E-2</v>
      </c>
      <c r="P449">
        <v>1</v>
      </c>
      <c r="Q449" s="9" t="s">
        <v>1820</v>
      </c>
      <c r="R449" s="9" t="s">
        <v>1838</v>
      </c>
      <c r="S449" s="9" t="s">
        <v>1839</v>
      </c>
      <c r="T449" s="9" t="s">
        <v>1838</v>
      </c>
      <c r="U449" s="9" t="s">
        <v>1840</v>
      </c>
      <c r="V449" s="9" t="s">
        <v>1838</v>
      </c>
      <c r="W449" s="9" t="s">
        <v>1838</v>
      </c>
      <c r="X449" s="9" t="s">
        <v>1838</v>
      </c>
      <c r="Y449" s="9" t="s">
        <v>1841</v>
      </c>
      <c r="Z449">
        <v>4842179.1619999995</v>
      </c>
      <c r="AA449">
        <v>12553041.036323847</v>
      </c>
      <c r="AB449" s="9" t="s">
        <v>1850</v>
      </c>
      <c r="AC449" s="9" t="s">
        <v>1838</v>
      </c>
    </row>
    <row r="450" spans="1:29">
      <c r="A450" s="9" t="s">
        <v>1653</v>
      </c>
      <c r="B450" s="9" t="s">
        <v>76</v>
      </c>
      <c r="C450" s="9" t="s">
        <v>77</v>
      </c>
      <c r="D450" s="9" t="s">
        <v>58</v>
      </c>
      <c r="E450">
        <v>2024</v>
      </c>
      <c r="F450">
        <v>1018361</v>
      </c>
      <c r="G450">
        <v>9.4000000000000004E-3</v>
      </c>
      <c r="H450">
        <v>9572.59</v>
      </c>
      <c r="I450" s="9" t="s">
        <v>1654</v>
      </c>
      <c r="J450" s="9" t="s">
        <v>1655</v>
      </c>
      <c r="K450" s="9" t="s">
        <v>616</v>
      </c>
      <c r="L450">
        <v>1184781</v>
      </c>
      <c r="M450" s="8">
        <v>45611</v>
      </c>
      <c r="N450" s="9" t="s">
        <v>77</v>
      </c>
      <c r="O450">
        <v>9.4000000000000004E-3</v>
      </c>
      <c r="P450">
        <v>1</v>
      </c>
      <c r="Q450" s="9" t="s">
        <v>1823</v>
      </c>
      <c r="R450" s="9" t="s">
        <v>1838</v>
      </c>
      <c r="S450" s="9" t="s">
        <v>1839</v>
      </c>
      <c r="T450" s="9" t="s">
        <v>1838</v>
      </c>
      <c r="U450" s="9" t="s">
        <v>1840</v>
      </c>
      <c r="V450" s="9" t="s">
        <v>1838</v>
      </c>
      <c r="W450" s="9" t="s">
        <v>1838</v>
      </c>
      <c r="X450" s="9" t="s">
        <v>1838</v>
      </c>
      <c r="Y450" s="9" t="s">
        <v>1841</v>
      </c>
      <c r="Z450">
        <v>4842179.1619999995</v>
      </c>
      <c r="AA450">
        <v>12553041.036323847</v>
      </c>
      <c r="AB450" s="9" t="s">
        <v>1850</v>
      </c>
      <c r="AC450" s="9" t="s">
        <v>1838</v>
      </c>
    </row>
    <row r="451" spans="1:29">
      <c r="A451" s="9" t="s">
        <v>1656</v>
      </c>
      <c r="B451" s="9" t="s">
        <v>678</v>
      </c>
      <c r="C451" s="9" t="s">
        <v>64</v>
      </c>
      <c r="D451" s="9" t="s">
        <v>71</v>
      </c>
      <c r="E451">
        <v>2023</v>
      </c>
      <c r="F451">
        <v>5562868</v>
      </c>
      <c r="G451">
        <v>1.84E-2</v>
      </c>
      <c r="H451">
        <v>102356.77</v>
      </c>
      <c r="I451" s="9" t="s">
        <v>1657</v>
      </c>
      <c r="J451" s="9" t="s">
        <v>1658</v>
      </c>
      <c r="K451" s="9" t="s">
        <v>508</v>
      </c>
      <c r="L451">
        <v>5646837</v>
      </c>
      <c r="M451" s="8">
        <v>44755</v>
      </c>
      <c r="N451" s="9"/>
      <c r="P451">
        <v>1</v>
      </c>
      <c r="Q451" s="9" t="s">
        <v>1822</v>
      </c>
      <c r="R451" s="9" t="s">
        <v>1842</v>
      </c>
      <c r="S451" s="9" t="s">
        <v>1845</v>
      </c>
      <c r="T451" s="9" t="s">
        <v>1845</v>
      </c>
      <c r="U451" s="9" t="s">
        <v>1840</v>
      </c>
      <c r="V451" s="9" t="s">
        <v>1838</v>
      </c>
      <c r="W451" s="9" t="s">
        <v>1838</v>
      </c>
      <c r="X451" s="9" t="s">
        <v>1838</v>
      </c>
      <c r="Y451" s="9" t="s">
        <v>1841</v>
      </c>
      <c r="Z451">
        <v>4842179.1619999995</v>
      </c>
      <c r="AA451">
        <v>12553041.036323847</v>
      </c>
      <c r="AB451" s="9" t="s">
        <v>1850</v>
      </c>
      <c r="AC451" s="9" t="s">
        <v>1843</v>
      </c>
    </row>
    <row r="452" spans="1:29">
      <c r="A452" s="9" t="s">
        <v>1659</v>
      </c>
      <c r="B452" s="9" t="s">
        <v>137</v>
      </c>
      <c r="C452" s="9" t="s">
        <v>138</v>
      </c>
      <c r="D452" s="9" t="s">
        <v>51</v>
      </c>
      <c r="E452">
        <v>2022</v>
      </c>
      <c r="F452">
        <v>478378</v>
      </c>
      <c r="G452">
        <v>1.2699999999999999E-2</v>
      </c>
      <c r="H452">
        <v>6075.4</v>
      </c>
      <c r="I452" s="9" t="s">
        <v>1660</v>
      </c>
      <c r="J452" s="9" t="s">
        <v>1661</v>
      </c>
      <c r="K452" s="9" t="s">
        <v>373</v>
      </c>
      <c r="L452">
        <v>506666</v>
      </c>
      <c r="M452" s="8">
        <v>44975</v>
      </c>
      <c r="N452" s="9" t="s">
        <v>138</v>
      </c>
      <c r="O452">
        <v>1.2699999999999999E-2</v>
      </c>
      <c r="P452">
        <v>1</v>
      </c>
      <c r="Q452" s="9" t="s">
        <v>1820</v>
      </c>
      <c r="R452" s="9" t="s">
        <v>1838</v>
      </c>
      <c r="S452" s="9" t="s">
        <v>1839</v>
      </c>
      <c r="T452" s="9" t="s">
        <v>1838</v>
      </c>
      <c r="U452" s="9" t="s">
        <v>1840</v>
      </c>
      <c r="V452" s="9" t="s">
        <v>1838</v>
      </c>
      <c r="W452" s="9" t="s">
        <v>1838</v>
      </c>
      <c r="X452" s="9" t="s">
        <v>1838</v>
      </c>
      <c r="Y452" s="9" t="s">
        <v>1841</v>
      </c>
      <c r="Z452">
        <v>4842179.1619999995</v>
      </c>
      <c r="AA452">
        <v>12553041.036323847</v>
      </c>
      <c r="AB452" s="9" t="s">
        <v>1850</v>
      </c>
      <c r="AC452" s="9" t="s">
        <v>1838</v>
      </c>
    </row>
    <row r="453" spans="1:29">
      <c r="A453" s="9" t="s">
        <v>1662</v>
      </c>
      <c r="B453" s="9" t="s">
        <v>56</v>
      </c>
      <c r="C453" s="9" t="s">
        <v>57</v>
      </c>
      <c r="D453" s="9" t="s">
        <v>51</v>
      </c>
      <c r="E453">
        <v>2022</v>
      </c>
      <c r="F453">
        <v>654243</v>
      </c>
      <c r="G453">
        <v>1.24E-2</v>
      </c>
      <c r="H453">
        <v>8112.61</v>
      </c>
      <c r="I453" s="9" t="s">
        <v>1663</v>
      </c>
      <c r="J453" s="9" t="s">
        <v>1664</v>
      </c>
      <c r="K453" s="9" t="s">
        <v>1141</v>
      </c>
      <c r="L453">
        <v>727059</v>
      </c>
      <c r="M453" s="8">
        <v>44737</v>
      </c>
      <c r="N453" s="9" t="s">
        <v>57</v>
      </c>
      <c r="O453">
        <v>1.24E-2</v>
      </c>
      <c r="P453">
        <v>1</v>
      </c>
      <c r="Q453" s="9" t="s">
        <v>1820</v>
      </c>
      <c r="R453" s="9" t="s">
        <v>1838</v>
      </c>
      <c r="S453" s="9" t="s">
        <v>1839</v>
      </c>
      <c r="T453" s="9" t="s">
        <v>1838</v>
      </c>
      <c r="U453" s="9" t="s">
        <v>1840</v>
      </c>
      <c r="V453" s="9" t="s">
        <v>1838</v>
      </c>
      <c r="W453" s="9" t="s">
        <v>1838</v>
      </c>
      <c r="X453" s="9" t="s">
        <v>1838</v>
      </c>
      <c r="Y453" s="9" t="s">
        <v>1841</v>
      </c>
      <c r="Z453">
        <v>4842179.1619999995</v>
      </c>
      <c r="AA453">
        <v>12553041.036323847</v>
      </c>
      <c r="AB453" s="9" t="s">
        <v>1850</v>
      </c>
      <c r="AC453" s="9" t="s">
        <v>1838</v>
      </c>
    </row>
    <row r="454" spans="1:29">
      <c r="A454" s="9" t="s">
        <v>1665</v>
      </c>
      <c r="B454" s="9" t="s">
        <v>87</v>
      </c>
      <c r="C454" s="9" t="s">
        <v>88</v>
      </c>
      <c r="D454" s="9" t="s">
        <v>97</v>
      </c>
      <c r="E454">
        <v>2024</v>
      </c>
      <c r="F454">
        <v>1871849</v>
      </c>
      <c r="G454">
        <v>2.0500000000000001E-2</v>
      </c>
      <c r="H454">
        <v>38372.9</v>
      </c>
      <c r="I454" s="9" t="s">
        <v>1666</v>
      </c>
      <c r="J454" s="9" t="s">
        <v>1667</v>
      </c>
      <c r="K454" s="9" t="s">
        <v>1668</v>
      </c>
      <c r="L454">
        <v>1744350</v>
      </c>
      <c r="M454" s="8">
        <v>45520</v>
      </c>
      <c r="N454" s="9" t="s">
        <v>88</v>
      </c>
      <c r="O454">
        <v>2.0500000000000001E-2</v>
      </c>
      <c r="P454">
        <v>1</v>
      </c>
      <c r="Q454" s="9" t="s">
        <v>1821</v>
      </c>
      <c r="R454" s="9" t="s">
        <v>1838</v>
      </c>
      <c r="S454" s="9" t="s">
        <v>1839</v>
      </c>
      <c r="T454" s="9" t="s">
        <v>1838</v>
      </c>
      <c r="U454" s="9" t="s">
        <v>1840</v>
      </c>
      <c r="V454" s="9" t="s">
        <v>1838</v>
      </c>
      <c r="W454" s="9" t="s">
        <v>1838</v>
      </c>
      <c r="X454" s="9" t="s">
        <v>1838</v>
      </c>
      <c r="Y454" s="9" t="s">
        <v>1841</v>
      </c>
      <c r="Z454">
        <v>4842179.1619999995</v>
      </c>
      <c r="AA454">
        <v>12553041.036323847</v>
      </c>
      <c r="AB454" s="9" t="s">
        <v>1850</v>
      </c>
      <c r="AC454" s="9" t="s">
        <v>1838</v>
      </c>
    </row>
    <row r="455" spans="1:29">
      <c r="A455" s="9" t="s">
        <v>1669</v>
      </c>
      <c r="B455" s="9" t="s">
        <v>101</v>
      </c>
      <c r="C455" s="9" t="s">
        <v>102</v>
      </c>
      <c r="D455" s="9" t="s">
        <v>71</v>
      </c>
      <c r="E455">
        <v>2023</v>
      </c>
      <c r="F455">
        <v>4184259</v>
      </c>
      <c r="G455">
        <v>1.89E-2</v>
      </c>
      <c r="H455">
        <v>79082.5</v>
      </c>
      <c r="I455" s="9" t="s">
        <v>1670</v>
      </c>
      <c r="J455" s="9" t="s">
        <v>1671</v>
      </c>
      <c r="K455" s="9" t="s">
        <v>1411</v>
      </c>
      <c r="L455">
        <v>5062701</v>
      </c>
      <c r="M455" s="8">
        <v>44154</v>
      </c>
      <c r="N455" s="9" t="s">
        <v>102</v>
      </c>
      <c r="O455">
        <v>1.89E-2</v>
      </c>
      <c r="P455">
        <v>1</v>
      </c>
      <c r="Q455" s="9" t="s">
        <v>1822</v>
      </c>
      <c r="R455" s="9" t="s">
        <v>1838</v>
      </c>
      <c r="S455" s="9" t="s">
        <v>1839</v>
      </c>
      <c r="T455" s="9" t="s">
        <v>1838</v>
      </c>
      <c r="U455" s="9" t="s">
        <v>1840</v>
      </c>
      <c r="V455" s="9" t="s">
        <v>1838</v>
      </c>
      <c r="W455" s="9" t="s">
        <v>1838</v>
      </c>
      <c r="X455" s="9" t="s">
        <v>1838</v>
      </c>
      <c r="Y455" s="9" t="s">
        <v>1841</v>
      </c>
      <c r="Z455">
        <v>4842179.1619999995</v>
      </c>
      <c r="AA455">
        <v>12553041.036323847</v>
      </c>
      <c r="AB455" s="9" t="s">
        <v>1850</v>
      </c>
      <c r="AC455" s="9" t="s">
        <v>1838</v>
      </c>
    </row>
    <row r="456" spans="1:29">
      <c r="A456" s="9" t="s">
        <v>1672</v>
      </c>
      <c r="B456" s="9" t="s">
        <v>137</v>
      </c>
      <c r="C456" s="9" t="s">
        <v>138</v>
      </c>
      <c r="D456" s="9" t="s">
        <v>82</v>
      </c>
      <c r="E456">
        <v>2023</v>
      </c>
      <c r="F456">
        <v>9079108</v>
      </c>
      <c r="G456">
        <v>1.4999999999999999E-2</v>
      </c>
      <c r="H456">
        <v>136186.62</v>
      </c>
      <c r="I456" s="9" t="s">
        <v>1673</v>
      </c>
      <c r="J456" s="9" t="s">
        <v>1674</v>
      </c>
      <c r="K456" s="9" t="s">
        <v>322</v>
      </c>
      <c r="L456">
        <v>9604131</v>
      </c>
      <c r="M456" s="8">
        <v>44348</v>
      </c>
      <c r="N456" s="9" t="s">
        <v>138</v>
      </c>
      <c r="O456">
        <v>1.4999999999999999E-2</v>
      </c>
      <c r="P456">
        <v>1</v>
      </c>
      <c r="Q456" s="9" t="s">
        <v>1824</v>
      </c>
      <c r="R456" s="9" t="s">
        <v>1838</v>
      </c>
      <c r="S456" s="9" t="s">
        <v>1839</v>
      </c>
      <c r="T456" s="9" t="s">
        <v>1838</v>
      </c>
      <c r="U456" s="9" t="s">
        <v>1840</v>
      </c>
      <c r="V456" s="9" t="s">
        <v>1838</v>
      </c>
      <c r="W456" s="9" t="s">
        <v>1838</v>
      </c>
      <c r="X456" s="9" t="s">
        <v>1838</v>
      </c>
      <c r="Y456" s="9" t="s">
        <v>1841</v>
      </c>
      <c r="Z456">
        <v>4842179.1619999995</v>
      </c>
      <c r="AA456">
        <v>12553041.036323847</v>
      </c>
      <c r="AB456" s="9" t="s">
        <v>1850</v>
      </c>
      <c r="AC456" s="9" t="s">
        <v>1838</v>
      </c>
    </row>
    <row r="457" spans="1:29">
      <c r="A457" s="9" t="s">
        <v>1675</v>
      </c>
      <c r="B457" s="9" t="s">
        <v>76</v>
      </c>
      <c r="C457" s="9" t="s">
        <v>77</v>
      </c>
      <c r="D457" s="9" t="s">
        <v>82</v>
      </c>
      <c r="E457">
        <v>2021</v>
      </c>
      <c r="F457">
        <v>6668533</v>
      </c>
      <c r="G457">
        <v>1.47E-2</v>
      </c>
      <c r="H457">
        <v>98027.44</v>
      </c>
      <c r="I457" s="9" t="s">
        <v>1676</v>
      </c>
      <c r="J457" s="9" t="s">
        <v>1677</v>
      </c>
      <c r="K457" s="9" t="s">
        <v>369</v>
      </c>
      <c r="L457">
        <v>7566141</v>
      </c>
      <c r="M457" s="8">
        <v>45367</v>
      </c>
      <c r="N457" s="9" t="s">
        <v>77</v>
      </c>
      <c r="O457">
        <v>1.47E-2</v>
      </c>
      <c r="P457">
        <v>1</v>
      </c>
      <c r="Q457" s="9" t="s">
        <v>1824</v>
      </c>
      <c r="R457" s="9" t="s">
        <v>1838</v>
      </c>
      <c r="S457" s="9" t="s">
        <v>1839</v>
      </c>
      <c r="T457" s="9" t="s">
        <v>1838</v>
      </c>
      <c r="U457" s="9" t="s">
        <v>1840</v>
      </c>
      <c r="V457" s="9" t="s">
        <v>1838</v>
      </c>
      <c r="W457" s="9" t="s">
        <v>1838</v>
      </c>
      <c r="X457" s="9" t="s">
        <v>1838</v>
      </c>
      <c r="Y457" s="9" t="s">
        <v>1841</v>
      </c>
      <c r="Z457">
        <v>4842179.1619999995</v>
      </c>
      <c r="AA457">
        <v>12553041.036323847</v>
      </c>
      <c r="AB457" s="9" t="s">
        <v>1850</v>
      </c>
      <c r="AC457" s="9" t="s">
        <v>1838</v>
      </c>
    </row>
    <row r="458" spans="1:29">
      <c r="A458" s="9" t="s">
        <v>1678</v>
      </c>
      <c r="B458" s="9" t="s">
        <v>101</v>
      </c>
      <c r="C458" s="9" t="s">
        <v>102</v>
      </c>
      <c r="D458" s="9" t="s">
        <v>58</v>
      </c>
      <c r="E458">
        <v>2021</v>
      </c>
      <c r="F458">
        <v>704013</v>
      </c>
      <c r="G458">
        <v>1.24E-2</v>
      </c>
      <c r="H458">
        <v>6969.73</v>
      </c>
      <c r="I458" s="9" t="s">
        <v>1679</v>
      </c>
      <c r="J458" s="9" t="s">
        <v>1680</v>
      </c>
      <c r="K458" s="9" t="s">
        <v>1105</v>
      </c>
      <c r="L458">
        <v>729919</v>
      </c>
      <c r="M458" s="8">
        <v>43783</v>
      </c>
      <c r="N458" s="9" t="s">
        <v>102</v>
      </c>
      <c r="O458">
        <v>9.9000000000000008E-3</v>
      </c>
      <c r="P458">
        <v>1</v>
      </c>
      <c r="Q458" s="9" t="s">
        <v>1823</v>
      </c>
      <c r="R458" s="9" t="s">
        <v>1838</v>
      </c>
      <c r="S458" s="9" t="s">
        <v>1839</v>
      </c>
      <c r="T458" s="9" t="s">
        <v>1838</v>
      </c>
      <c r="U458" s="9" t="s">
        <v>1840</v>
      </c>
      <c r="V458" s="9" t="s">
        <v>1838</v>
      </c>
      <c r="W458" s="9" t="s">
        <v>1838</v>
      </c>
      <c r="X458" s="9" t="s">
        <v>1838</v>
      </c>
      <c r="Y458" s="9" t="s">
        <v>1841</v>
      </c>
      <c r="Z458">
        <v>4842179.1619999995</v>
      </c>
      <c r="AA458">
        <v>12553041.036323847</v>
      </c>
      <c r="AB458" s="9" t="s">
        <v>1850</v>
      </c>
      <c r="AC458" s="9" t="s">
        <v>1838</v>
      </c>
    </row>
    <row r="459" spans="1:29">
      <c r="A459" s="9" t="s">
        <v>1681</v>
      </c>
      <c r="B459" s="9" t="s">
        <v>63</v>
      </c>
      <c r="C459" s="9" t="s">
        <v>64</v>
      </c>
      <c r="D459" s="9" t="s">
        <v>71</v>
      </c>
      <c r="E459">
        <v>2022</v>
      </c>
      <c r="F459">
        <v>4509126</v>
      </c>
      <c r="G459">
        <v>1.8499999999999999E-2</v>
      </c>
      <c r="H459">
        <v>83418.83</v>
      </c>
      <c r="I459" s="9" t="s">
        <v>1682</v>
      </c>
      <c r="J459" s="9" t="s">
        <v>1683</v>
      </c>
      <c r="K459" s="9" t="s">
        <v>314</v>
      </c>
      <c r="L459">
        <v>5277226</v>
      </c>
      <c r="M459" s="8">
        <v>44292</v>
      </c>
      <c r="N459" s="9" t="s">
        <v>64</v>
      </c>
      <c r="O459">
        <v>1.8499999999999999E-2</v>
      </c>
      <c r="P459">
        <v>1</v>
      </c>
      <c r="Q459" s="9" t="s">
        <v>1822</v>
      </c>
      <c r="R459" s="9" t="s">
        <v>1838</v>
      </c>
      <c r="S459" s="9" t="s">
        <v>1839</v>
      </c>
      <c r="T459" s="9" t="s">
        <v>1838</v>
      </c>
      <c r="U459" s="9" t="s">
        <v>1840</v>
      </c>
      <c r="V459" s="9" t="s">
        <v>1838</v>
      </c>
      <c r="W459" s="9" t="s">
        <v>1838</v>
      </c>
      <c r="X459" s="9" t="s">
        <v>1838</v>
      </c>
      <c r="Y459" s="9" t="s">
        <v>1841</v>
      </c>
      <c r="Z459">
        <v>4842179.1619999995</v>
      </c>
      <c r="AA459">
        <v>12553041.036323847</v>
      </c>
      <c r="AB459" s="9" t="s">
        <v>1850</v>
      </c>
      <c r="AC459" s="9" t="s">
        <v>1838</v>
      </c>
    </row>
    <row r="460" spans="1:29">
      <c r="A460" s="9" t="s">
        <v>1684</v>
      </c>
      <c r="B460" s="9" t="s">
        <v>76</v>
      </c>
      <c r="C460" s="9" t="s">
        <v>77</v>
      </c>
      <c r="D460" s="9" t="s">
        <v>71</v>
      </c>
      <c r="E460">
        <v>2022</v>
      </c>
      <c r="F460">
        <v>3034661</v>
      </c>
      <c r="G460">
        <v>1.84E-2</v>
      </c>
      <c r="H460">
        <v>55837.760000000002</v>
      </c>
      <c r="I460" s="9" t="s">
        <v>1685</v>
      </c>
      <c r="J460" s="9" t="s">
        <v>1686</v>
      </c>
      <c r="K460" s="9" t="s">
        <v>373</v>
      </c>
      <c r="L460">
        <v>3597495</v>
      </c>
      <c r="M460" s="8">
        <v>44787</v>
      </c>
      <c r="N460" s="9" t="s">
        <v>77</v>
      </c>
      <c r="O460">
        <v>1.84E-2</v>
      </c>
      <c r="P460">
        <v>1</v>
      </c>
      <c r="Q460" s="9" t="s">
        <v>1822</v>
      </c>
      <c r="R460" s="9" t="s">
        <v>1838</v>
      </c>
      <c r="S460" s="9" t="s">
        <v>1839</v>
      </c>
      <c r="T460" s="9" t="s">
        <v>1838</v>
      </c>
      <c r="U460" s="9" t="s">
        <v>1840</v>
      </c>
      <c r="V460" s="9" t="s">
        <v>1838</v>
      </c>
      <c r="W460" s="9" t="s">
        <v>1838</v>
      </c>
      <c r="X460" s="9" t="s">
        <v>1838</v>
      </c>
      <c r="Y460" s="9" t="s">
        <v>1841</v>
      </c>
      <c r="Z460">
        <v>4842179.1619999995</v>
      </c>
      <c r="AA460">
        <v>12553041.036323847</v>
      </c>
      <c r="AB460" s="9" t="s">
        <v>1850</v>
      </c>
      <c r="AC460" s="9" t="s">
        <v>1838</v>
      </c>
    </row>
    <row r="461" spans="1:29">
      <c r="A461" s="9" t="s">
        <v>1687</v>
      </c>
      <c r="B461" s="9" t="s">
        <v>56</v>
      </c>
      <c r="C461" s="9" t="s">
        <v>57</v>
      </c>
      <c r="D461" s="9" t="s">
        <v>425</v>
      </c>
      <c r="E461">
        <v>2022</v>
      </c>
      <c r="F461">
        <v>4757172</v>
      </c>
      <c r="G461">
        <v>2.0400000000000001E-2</v>
      </c>
      <c r="H461">
        <v>97046.31</v>
      </c>
      <c r="I461" s="9" t="s">
        <v>1688</v>
      </c>
      <c r="J461" s="9" t="s">
        <v>1689</v>
      </c>
      <c r="K461" s="9" t="s">
        <v>547</v>
      </c>
      <c r="L461">
        <v>5376968</v>
      </c>
      <c r="M461" s="8">
        <v>44606</v>
      </c>
      <c r="N461" s="9" t="s">
        <v>57</v>
      </c>
      <c r="P461">
        <v>1</v>
      </c>
      <c r="Q461" s="9"/>
      <c r="R461" s="9" t="s">
        <v>1838</v>
      </c>
      <c r="S461" s="9" t="s">
        <v>1839</v>
      </c>
      <c r="T461" s="9" t="s">
        <v>1845</v>
      </c>
      <c r="U461" s="9" t="s">
        <v>1840</v>
      </c>
      <c r="V461" s="9" t="s">
        <v>1838</v>
      </c>
      <c r="W461" s="9" t="s">
        <v>1842</v>
      </c>
      <c r="X461" s="9" t="s">
        <v>1838</v>
      </c>
      <c r="Y461" s="9" t="s">
        <v>1841</v>
      </c>
      <c r="Z461">
        <v>4842179.1619999995</v>
      </c>
      <c r="AA461">
        <v>12553041.036323847</v>
      </c>
      <c r="AB461" s="9" t="s">
        <v>1850</v>
      </c>
      <c r="AC461" s="9" t="s">
        <v>1843</v>
      </c>
    </row>
    <row r="462" spans="1:29">
      <c r="A462" s="9" t="s">
        <v>1690</v>
      </c>
      <c r="B462" s="9" t="s">
        <v>87</v>
      </c>
      <c r="C462" s="9" t="s">
        <v>88</v>
      </c>
      <c r="D462" s="9" t="s">
        <v>71</v>
      </c>
      <c r="E462">
        <v>2021</v>
      </c>
      <c r="F462">
        <v>2012692</v>
      </c>
      <c r="G462">
        <v>1.8499999999999999E-2</v>
      </c>
      <c r="H462">
        <v>37234.800000000003</v>
      </c>
      <c r="I462" s="9" t="s">
        <v>1691</v>
      </c>
      <c r="J462" s="9" t="s">
        <v>1692</v>
      </c>
      <c r="K462" s="9" t="s">
        <v>533</v>
      </c>
      <c r="L462">
        <v>2462717</v>
      </c>
      <c r="M462" s="8">
        <v>44010</v>
      </c>
      <c r="N462" s="9" t="s">
        <v>88</v>
      </c>
      <c r="O462">
        <v>1.8499999999999999E-2</v>
      </c>
      <c r="P462">
        <v>1</v>
      </c>
      <c r="Q462" s="9" t="s">
        <v>1822</v>
      </c>
      <c r="R462" s="9" t="s">
        <v>1838</v>
      </c>
      <c r="S462" s="9" t="s">
        <v>1839</v>
      </c>
      <c r="T462" s="9" t="s">
        <v>1838</v>
      </c>
      <c r="U462" s="9" t="s">
        <v>1840</v>
      </c>
      <c r="V462" s="9" t="s">
        <v>1838</v>
      </c>
      <c r="W462" s="9" t="s">
        <v>1838</v>
      </c>
      <c r="X462" s="9" t="s">
        <v>1838</v>
      </c>
      <c r="Y462" s="9" t="s">
        <v>1841</v>
      </c>
      <c r="Z462">
        <v>4842179.1619999995</v>
      </c>
      <c r="AA462">
        <v>12553041.036323847</v>
      </c>
      <c r="AB462" s="9" t="s">
        <v>1850</v>
      </c>
      <c r="AC462" s="9" t="s">
        <v>1838</v>
      </c>
    </row>
    <row r="463" spans="1:29">
      <c r="A463" s="9" t="s">
        <v>1693</v>
      </c>
      <c r="B463" s="9" t="s">
        <v>150</v>
      </c>
      <c r="C463" s="9" t="s">
        <v>151</v>
      </c>
      <c r="D463" s="9" t="s">
        <v>97</v>
      </c>
      <c r="E463">
        <v>2023</v>
      </c>
      <c r="F463">
        <v>5281019</v>
      </c>
      <c r="G463">
        <v>2.0299999999999999E-2</v>
      </c>
      <c r="H463">
        <v>107204.69</v>
      </c>
      <c r="I463" s="9" t="s">
        <v>1694</v>
      </c>
      <c r="J463" s="9" t="s">
        <v>1695</v>
      </c>
      <c r="K463" s="9" t="s">
        <v>620</v>
      </c>
      <c r="L463">
        <v>5189862</v>
      </c>
      <c r="M463" s="8">
        <v>44708</v>
      </c>
      <c r="N463" s="9" t="s">
        <v>151</v>
      </c>
      <c r="O463">
        <v>2.0299999999999999E-2</v>
      </c>
      <c r="P463">
        <v>1</v>
      </c>
      <c r="Q463" s="9" t="s">
        <v>1821</v>
      </c>
      <c r="R463" s="9" t="s">
        <v>1838</v>
      </c>
      <c r="S463" s="9" t="s">
        <v>1839</v>
      </c>
      <c r="T463" s="9" t="s">
        <v>1838</v>
      </c>
      <c r="U463" s="9" t="s">
        <v>1840</v>
      </c>
      <c r="V463" s="9" t="s">
        <v>1838</v>
      </c>
      <c r="W463" s="9" t="s">
        <v>1838</v>
      </c>
      <c r="X463" s="9" t="s">
        <v>1838</v>
      </c>
      <c r="Y463" s="9" t="s">
        <v>1841</v>
      </c>
      <c r="Z463">
        <v>4842179.1619999995</v>
      </c>
      <c r="AA463">
        <v>12553041.036323847</v>
      </c>
      <c r="AB463" s="9" t="s">
        <v>1850</v>
      </c>
      <c r="AC463" s="9" t="s">
        <v>1838</v>
      </c>
    </row>
    <row r="464" spans="1:29">
      <c r="A464" s="9" t="s">
        <v>1696</v>
      </c>
      <c r="B464" s="9" t="s">
        <v>76</v>
      </c>
      <c r="C464" s="9" t="s">
        <v>77</v>
      </c>
      <c r="D464" s="9" t="s">
        <v>82</v>
      </c>
      <c r="E464">
        <v>2021</v>
      </c>
      <c r="F464">
        <v>2604820</v>
      </c>
      <c r="G464">
        <v>1.47E-2</v>
      </c>
      <c r="H464">
        <v>38290.85</v>
      </c>
      <c r="I464" s="9" t="s">
        <v>1697</v>
      </c>
      <c r="J464" s="9" t="s">
        <v>1698</v>
      </c>
      <c r="K464" s="9" t="s">
        <v>749</v>
      </c>
      <c r="L464">
        <v>3066193</v>
      </c>
      <c r="M464" s="8">
        <v>45165</v>
      </c>
      <c r="N464" s="9" t="s">
        <v>77</v>
      </c>
      <c r="O464">
        <v>1.47E-2</v>
      </c>
      <c r="P464">
        <v>1</v>
      </c>
      <c r="Q464" s="9" t="s">
        <v>1824</v>
      </c>
      <c r="R464" s="9" t="s">
        <v>1838</v>
      </c>
      <c r="S464" s="9" t="s">
        <v>1839</v>
      </c>
      <c r="T464" s="9" t="s">
        <v>1838</v>
      </c>
      <c r="U464" s="9" t="s">
        <v>1840</v>
      </c>
      <c r="V464" s="9" t="s">
        <v>1838</v>
      </c>
      <c r="W464" s="9" t="s">
        <v>1838</v>
      </c>
      <c r="X464" s="9" t="s">
        <v>1838</v>
      </c>
      <c r="Y464" s="9" t="s">
        <v>1841</v>
      </c>
      <c r="Z464">
        <v>4842179.1619999995</v>
      </c>
      <c r="AA464">
        <v>12553041.036323847</v>
      </c>
      <c r="AB464" s="9" t="s">
        <v>1850</v>
      </c>
      <c r="AC464" s="9" t="s">
        <v>1838</v>
      </c>
    </row>
    <row r="465" spans="1:29">
      <c r="A465" s="9" t="s">
        <v>1699</v>
      </c>
      <c r="B465" s="9" t="s">
        <v>137</v>
      </c>
      <c r="C465" s="9" t="s">
        <v>138</v>
      </c>
      <c r="D465" s="9" t="s">
        <v>51</v>
      </c>
      <c r="E465">
        <v>2022</v>
      </c>
      <c r="F465">
        <v>1096724</v>
      </c>
      <c r="G465">
        <v>1.2699999999999999E-2</v>
      </c>
      <c r="H465">
        <v>13928.39</v>
      </c>
      <c r="I465" s="9" t="s">
        <v>1700</v>
      </c>
      <c r="J465" s="9" t="s">
        <v>1701</v>
      </c>
      <c r="K465" s="9" t="s">
        <v>154</v>
      </c>
      <c r="L465">
        <v>1320953</v>
      </c>
      <c r="M465" s="8">
        <v>43752</v>
      </c>
      <c r="N465" s="9" t="s">
        <v>138</v>
      </c>
      <c r="O465">
        <v>1.2699999999999999E-2</v>
      </c>
      <c r="P465">
        <v>1</v>
      </c>
      <c r="Q465" s="9" t="s">
        <v>1820</v>
      </c>
      <c r="R465" s="9" t="s">
        <v>1838</v>
      </c>
      <c r="S465" s="9" t="s">
        <v>1839</v>
      </c>
      <c r="T465" s="9" t="s">
        <v>1838</v>
      </c>
      <c r="U465" s="9" t="s">
        <v>1840</v>
      </c>
      <c r="V465" s="9" t="s">
        <v>1838</v>
      </c>
      <c r="W465" s="9" t="s">
        <v>1838</v>
      </c>
      <c r="X465" s="9" t="s">
        <v>1838</v>
      </c>
      <c r="Y465" s="9" t="s">
        <v>1841</v>
      </c>
      <c r="Z465">
        <v>4842179.1619999995</v>
      </c>
      <c r="AA465">
        <v>12553041.036323847</v>
      </c>
      <c r="AB465" s="9" t="s">
        <v>1850</v>
      </c>
      <c r="AC465" s="9" t="s">
        <v>1838</v>
      </c>
    </row>
    <row r="466" spans="1:29">
      <c r="A466" s="9" t="s">
        <v>1702</v>
      </c>
      <c r="B466" s="9" t="s">
        <v>76</v>
      </c>
      <c r="C466" s="9" t="s">
        <v>77</v>
      </c>
      <c r="D466" s="9" t="s">
        <v>51</v>
      </c>
      <c r="E466">
        <v>2022</v>
      </c>
      <c r="F466">
        <v>1243908</v>
      </c>
      <c r="G466">
        <v>1.24E-2</v>
      </c>
      <c r="H466">
        <v>15574.46</v>
      </c>
      <c r="I466" s="9" t="s">
        <v>1703</v>
      </c>
      <c r="J466" s="9" t="s">
        <v>1704</v>
      </c>
      <c r="K466" s="9" t="s">
        <v>1113</v>
      </c>
      <c r="L466">
        <v>1304120</v>
      </c>
      <c r="M466" s="8">
        <v>44485</v>
      </c>
      <c r="N466" s="9" t="s">
        <v>77</v>
      </c>
      <c r="O466">
        <v>1.24E-2</v>
      </c>
      <c r="P466">
        <v>1</v>
      </c>
      <c r="Q466" s="9" t="s">
        <v>1820</v>
      </c>
      <c r="R466" s="9" t="s">
        <v>1838</v>
      </c>
      <c r="S466" s="9" t="s">
        <v>1839</v>
      </c>
      <c r="T466" s="9" t="s">
        <v>1845</v>
      </c>
      <c r="U466" s="9" t="s">
        <v>1840</v>
      </c>
      <c r="V466" s="9" t="s">
        <v>1838</v>
      </c>
      <c r="W466" s="9" t="s">
        <v>1838</v>
      </c>
      <c r="X466" s="9" t="s">
        <v>1838</v>
      </c>
      <c r="Y466" s="9" t="s">
        <v>1841</v>
      </c>
      <c r="Z466">
        <v>4842179.1619999995</v>
      </c>
      <c r="AA466">
        <v>12553041.036323847</v>
      </c>
      <c r="AB466" s="9" t="s">
        <v>1850</v>
      </c>
      <c r="AC466" s="9" t="s">
        <v>1843</v>
      </c>
    </row>
    <row r="467" spans="1:29">
      <c r="A467" s="9" t="s">
        <v>1705</v>
      </c>
      <c r="B467" s="9" t="s">
        <v>137</v>
      </c>
      <c r="C467" s="9" t="s">
        <v>138</v>
      </c>
      <c r="D467" s="9" t="s">
        <v>71</v>
      </c>
      <c r="E467">
        <v>2024</v>
      </c>
      <c r="F467">
        <v>10200626</v>
      </c>
      <c r="G467">
        <v>1.8700000000000001E-2</v>
      </c>
      <c r="H467">
        <v>190651.71</v>
      </c>
      <c r="I467" s="9" t="s">
        <v>1706</v>
      </c>
      <c r="J467" s="9" t="s">
        <v>1707</v>
      </c>
      <c r="K467" s="9" t="s">
        <v>723</v>
      </c>
      <c r="L467">
        <v>9737084</v>
      </c>
      <c r="M467" s="8">
        <v>45184</v>
      </c>
      <c r="N467" s="9" t="s">
        <v>138</v>
      </c>
      <c r="O467">
        <v>1.8700000000000001E-2</v>
      </c>
      <c r="P467">
        <v>1</v>
      </c>
      <c r="Q467" s="9" t="s">
        <v>1822</v>
      </c>
      <c r="R467" s="9" t="s">
        <v>1838</v>
      </c>
      <c r="S467" s="9" t="s">
        <v>1839</v>
      </c>
      <c r="T467" s="9" t="s">
        <v>1845</v>
      </c>
      <c r="U467" s="9" t="s">
        <v>1840</v>
      </c>
      <c r="V467" s="9" t="s">
        <v>1838</v>
      </c>
      <c r="W467" s="9" t="s">
        <v>1838</v>
      </c>
      <c r="X467" s="9" t="s">
        <v>1838</v>
      </c>
      <c r="Y467" s="9" t="s">
        <v>1841</v>
      </c>
      <c r="Z467">
        <v>4842179.1619999995</v>
      </c>
      <c r="AA467">
        <v>12553041.036323847</v>
      </c>
      <c r="AB467" s="9" t="s">
        <v>1850</v>
      </c>
      <c r="AC467" s="9" t="s">
        <v>1843</v>
      </c>
    </row>
    <row r="468" spans="1:29">
      <c r="A468" s="9" t="s">
        <v>1708</v>
      </c>
      <c r="B468" s="9" t="s">
        <v>63</v>
      </c>
      <c r="C468" s="9" t="s">
        <v>64</v>
      </c>
      <c r="D468" s="9" t="s">
        <v>58</v>
      </c>
      <c r="E468">
        <v>2024</v>
      </c>
      <c r="F468">
        <v>3003869</v>
      </c>
      <c r="G468">
        <v>9.4999999999999998E-3</v>
      </c>
      <c r="H468">
        <v>28536.76</v>
      </c>
      <c r="I468" s="9" t="s">
        <v>1709</v>
      </c>
      <c r="J468" s="9" t="s">
        <v>1710</v>
      </c>
      <c r="K468" s="9" t="s">
        <v>1711</v>
      </c>
      <c r="L468">
        <v>3209020</v>
      </c>
      <c r="M468" s="8">
        <v>44879</v>
      </c>
      <c r="N468" s="9" t="s">
        <v>64</v>
      </c>
      <c r="O468">
        <v>9.4999999999999998E-3</v>
      </c>
      <c r="P468">
        <v>1</v>
      </c>
      <c r="Q468" s="9" t="s">
        <v>1823</v>
      </c>
      <c r="R468" s="9" t="s">
        <v>1838</v>
      </c>
      <c r="S468" s="9" t="s">
        <v>1839</v>
      </c>
      <c r="T468" s="9" t="s">
        <v>1838</v>
      </c>
      <c r="U468" s="9" t="s">
        <v>1840</v>
      </c>
      <c r="V468" s="9" t="s">
        <v>1838</v>
      </c>
      <c r="W468" s="9" t="s">
        <v>1838</v>
      </c>
      <c r="X468" s="9" t="s">
        <v>1838</v>
      </c>
      <c r="Y468" s="9" t="s">
        <v>1841</v>
      </c>
      <c r="Z468">
        <v>4842179.1619999995</v>
      </c>
      <c r="AA468">
        <v>12553041.036323847</v>
      </c>
      <c r="AB468" s="9" t="s">
        <v>1850</v>
      </c>
      <c r="AC468" s="9" t="s">
        <v>1838</v>
      </c>
    </row>
    <row r="469" spans="1:29">
      <c r="A469" s="9" t="s">
        <v>1712</v>
      </c>
      <c r="B469" s="9" t="s">
        <v>131</v>
      </c>
      <c r="C469" s="9" t="s">
        <v>132</v>
      </c>
      <c r="D469" s="9" t="s">
        <v>58</v>
      </c>
      <c r="E469">
        <v>2022</v>
      </c>
      <c r="F469">
        <v>897409</v>
      </c>
      <c r="G469">
        <v>9.7999999999999997E-3</v>
      </c>
      <c r="H469">
        <v>8794.61</v>
      </c>
      <c r="I469" s="9" t="s">
        <v>1713</v>
      </c>
      <c r="J469" s="9" t="s">
        <v>1714</v>
      </c>
      <c r="K469" s="9" t="s">
        <v>1246</v>
      </c>
      <c r="L469">
        <v>1117842</v>
      </c>
      <c r="M469" s="8">
        <v>43757</v>
      </c>
      <c r="N469" s="9" t="s">
        <v>132</v>
      </c>
      <c r="O469">
        <v>9.7999999999999997E-3</v>
      </c>
      <c r="P469">
        <v>1</v>
      </c>
      <c r="Q469" s="9" t="s">
        <v>1823</v>
      </c>
      <c r="R469" s="9" t="s">
        <v>1838</v>
      </c>
      <c r="S469" s="9" t="s">
        <v>1839</v>
      </c>
      <c r="T469" s="9" t="s">
        <v>1838</v>
      </c>
      <c r="U469" s="9" t="s">
        <v>1840</v>
      </c>
      <c r="V469" s="9" t="s">
        <v>1838</v>
      </c>
      <c r="W469" s="9" t="s">
        <v>1838</v>
      </c>
      <c r="X469" s="9" t="s">
        <v>1838</v>
      </c>
      <c r="Y469" s="9" t="s">
        <v>1841</v>
      </c>
      <c r="Z469">
        <v>4842179.1619999995</v>
      </c>
      <c r="AA469">
        <v>12553041.036323847</v>
      </c>
      <c r="AB469" s="9" t="s">
        <v>1850</v>
      </c>
      <c r="AC469" s="9" t="s">
        <v>1838</v>
      </c>
    </row>
    <row r="470" spans="1:29">
      <c r="A470" s="9" t="s">
        <v>1715</v>
      </c>
      <c r="B470" s="9" t="s">
        <v>69</v>
      </c>
      <c r="C470" s="9" t="s">
        <v>70</v>
      </c>
      <c r="D470" s="9" t="s">
        <v>51</v>
      </c>
      <c r="E470">
        <v>2021</v>
      </c>
      <c r="F470">
        <v>691531</v>
      </c>
      <c r="G470">
        <v>1.26E-2</v>
      </c>
      <c r="H470">
        <v>8713.2900000000009</v>
      </c>
      <c r="I470" s="9" t="s">
        <v>1716</v>
      </c>
      <c r="J470" s="9" t="s">
        <v>1717</v>
      </c>
      <c r="K470" s="9" t="s">
        <v>141</v>
      </c>
      <c r="L470">
        <v>681036</v>
      </c>
      <c r="M470" s="8">
        <v>43607</v>
      </c>
      <c r="N470" s="9" t="s">
        <v>70</v>
      </c>
      <c r="O470">
        <v>1.26E-2</v>
      </c>
      <c r="P470">
        <v>1</v>
      </c>
      <c r="Q470" s="9" t="s">
        <v>1820</v>
      </c>
      <c r="R470" s="9" t="s">
        <v>1838</v>
      </c>
      <c r="S470" s="9" t="s">
        <v>1839</v>
      </c>
      <c r="T470" s="9" t="s">
        <v>1838</v>
      </c>
      <c r="U470" s="9" t="s">
        <v>1840</v>
      </c>
      <c r="V470" s="9" t="s">
        <v>1838</v>
      </c>
      <c r="W470" s="9" t="s">
        <v>1838</v>
      </c>
      <c r="X470" s="9" t="s">
        <v>1838</v>
      </c>
      <c r="Y470" s="9" t="s">
        <v>1841</v>
      </c>
      <c r="Z470">
        <v>4842179.1619999995</v>
      </c>
      <c r="AA470">
        <v>12553041.036323847</v>
      </c>
      <c r="AB470" s="9" t="s">
        <v>1850</v>
      </c>
      <c r="AC470" s="9" t="s">
        <v>1838</v>
      </c>
    </row>
    <row r="471" spans="1:29">
      <c r="A471" s="9" t="s">
        <v>1718</v>
      </c>
      <c r="B471" s="9" t="s">
        <v>150</v>
      </c>
      <c r="C471" s="9" t="s">
        <v>151</v>
      </c>
      <c r="D471" s="9" t="s">
        <v>51</v>
      </c>
      <c r="E471">
        <v>2022</v>
      </c>
      <c r="F471">
        <v>611477</v>
      </c>
      <c r="G471">
        <v>1.23E-2</v>
      </c>
      <c r="H471">
        <v>7521.17</v>
      </c>
      <c r="I471" s="9" t="s">
        <v>1719</v>
      </c>
      <c r="J471" s="9" t="s">
        <v>1720</v>
      </c>
      <c r="K471" s="9" t="s">
        <v>504</v>
      </c>
      <c r="L471">
        <v>745074</v>
      </c>
      <c r="M471" s="8">
        <v>45198</v>
      </c>
      <c r="N471" s="9" t="s">
        <v>151</v>
      </c>
      <c r="O471">
        <v>1.23E-2</v>
      </c>
      <c r="P471">
        <v>1</v>
      </c>
      <c r="Q471" s="9" t="s">
        <v>1820</v>
      </c>
      <c r="R471" s="9" t="s">
        <v>1838</v>
      </c>
      <c r="S471" s="9" t="s">
        <v>1839</v>
      </c>
      <c r="T471" s="9" t="s">
        <v>1838</v>
      </c>
      <c r="U471" s="9" t="s">
        <v>1840</v>
      </c>
      <c r="V471" s="9" t="s">
        <v>1838</v>
      </c>
      <c r="W471" s="9" t="s">
        <v>1838</v>
      </c>
      <c r="X471" s="9" t="s">
        <v>1838</v>
      </c>
      <c r="Y471" s="9" t="s">
        <v>1841</v>
      </c>
      <c r="Z471">
        <v>4842179.1619999995</v>
      </c>
      <c r="AA471">
        <v>12553041.036323847</v>
      </c>
      <c r="AB471" s="9" t="s">
        <v>1850</v>
      </c>
      <c r="AC471" s="9" t="s">
        <v>1838</v>
      </c>
    </row>
    <row r="472" spans="1:29">
      <c r="A472" s="9" t="s">
        <v>1721</v>
      </c>
      <c r="B472" s="9" t="s">
        <v>678</v>
      </c>
      <c r="C472" s="9" t="s">
        <v>132</v>
      </c>
      <c r="D472" s="9" t="s">
        <v>58</v>
      </c>
      <c r="E472">
        <v>2023</v>
      </c>
      <c r="F472">
        <v>2326066</v>
      </c>
      <c r="G472">
        <v>9.7999999999999997E-3</v>
      </c>
      <c r="H472">
        <v>22795.45</v>
      </c>
      <c r="I472" s="9" t="s">
        <v>1722</v>
      </c>
      <c r="J472" s="9" t="s">
        <v>1723</v>
      </c>
      <c r="K472" s="9" t="s">
        <v>914</v>
      </c>
      <c r="L472">
        <v>2702660</v>
      </c>
      <c r="M472" s="8">
        <v>45262</v>
      </c>
      <c r="N472" s="9"/>
      <c r="P472">
        <v>1</v>
      </c>
      <c r="Q472" s="9" t="s">
        <v>1823</v>
      </c>
      <c r="R472" s="9" t="s">
        <v>1842</v>
      </c>
      <c r="S472" s="9" t="s">
        <v>1845</v>
      </c>
      <c r="T472" s="9" t="s">
        <v>1845</v>
      </c>
      <c r="U472" s="9" t="s">
        <v>1840</v>
      </c>
      <c r="V472" s="9" t="s">
        <v>1838</v>
      </c>
      <c r="W472" s="9" t="s">
        <v>1838</v>
      </c>
      <c r="X472" s="9" t="s">
        <v>1838</v>
      </c>
      <c r="Y472" s="9" t="s">
        <v>1841</v>
      </c>
      <c r="Z472">
        <v>4842179.1619999995</v>
      </c>
      <c r="AA472">
        <v>12553041.036323847</v>
      </c>
      <c r="AB472" s="9" t="s">
        <v>1850</v>
      </c>
      <c r="AC472" s="9" t="s">
        <v>1843</v>
      </c>
    </row>
    <row r="473" spans="1:29">
      <c r="A473" s="9" t="s">
        <v>1724</v>
      </c>
      <c r="B473" s="9" t="s">
        <v>137</v>
      </c>
      <c r="C473" s="9" t="s">
        <v>138</v>
      </c>
      <c r="D473" s="9" t="s">
        <v>51</v>
      </c>
      <c r="E473">
        <v>2022</v>
      </c>
      <c r="F473">
        <v>1058314</v>
      </c>
      <c r="G473">
        <v>1.2699999999999999E-2</v>
      </c>
      <c r="H473">
        <v>13440.59</v>
      </c>
      <c r="I473" s="9" t="s">
        <v>1725</v>
      </c>
      <c r="J473" s="9" t="s">
        <v>1726</v>
      </c>
      <c r="K473" s="9" t="s">
        <v>969</v>
      </c>
      <c r="L473">
        <v>1019891</v>
      </c>
      <c r="M473" s="8">
        <v>43917</v>
      </c>
      <c r="N473" s="9" t="s">
        <v>138</v>
      </c>
      <c r="O473">
        <v>1.2699999999999999E-2</v>
      </c>
      <c r="P473">
        <v>1</v>
      </c>
      <c r="Q473" s="9" t="s">
        <v>1820</v>
      </c>
      <c r="R473" s="9" t="s">
        <v>1838</v>
      </c>
      <c r="S473" s="9" t="s">
        <v>1839</v>
      </c>
      <c r="T473" s="9" t="s">
        <v>1838</v>
      </c>
      <c r="U473" s="9" t="s">
        <v>1840</v>
      </c>
      <c r="V473" s="9" t="s">
        <v>1838</v>
      </c>
      <c r="W473" s="9" t="s">
        <v>1838</v>
      </c>
      <c r="X473" s="9" t="s">
        <v>1838</v>
      </c>
      <c r="Y473" s="9" t="s">
        <v>1841</v>
      </c>
      <c r="Z473">
        <v>4842179.1619999995</v>
      </c>
      <c r="AA473">
        <v>12553041.036323847</v>
      </c>
      <c r="AB473" s="9" t="s">
        <v>1850</v>
      </c>
      <c r="AC473" s="9" t="s">
        <v>1838</v>
      </c>
    </row>
    <row r="474" spans="1:29">
      <c r="A474" s="9" t="s">
        <v>1727</v>
      </c>
      <c r="B474" s="9" t="s">
        <v>101</v>
      </c>
      <c r="C474" s="9" t="s">
        <v>102</v>
      </c>
      <c r="D474" s="9" t="s">
        <v>82</v>
      </c>
      <c r="E474">
        <v>2022</v>
      </c>
      <c r="F474">
        <v>4052668</v>
      </c>
      <c r="G474">
        <v>1.52E-2</v>
      </c>
      <c r="H474">
        <v>61600.55</v>
      </c>
      <c r="I474" s="9" t="s">
        <v>1728</v>
      </c>
      <c r="J474" s="9" t="s">
        <v>1729</v>
      </c>
      <c r="K474" s="9" t="s">
        <v>620</v>
      </c>
      <c r="L474">
        <v>3738553</v>
      </c>
      <c r="M474" s="8">
        <v>43587</v>
      </c>
      <c r="N474" s="9" t="s">
        <v>102</v>
      </c>
      <c r="O474">
        <v>1.52E-2</v>
      </c>
      <c r="P474">
        <v>1</v>
      </c>
      <c r="Q474" s="9" t="s">
        <v>1824</v>
      </c>
      <c r="R474" s="9" t="s">
        <v>1838</v>
      </c>
      <c r="S474" s="9" t="s">
        <v>1839</v>
      </c>
      <c r="T474" s="9" t="s">
        <v>1838</v>
      </c>
      <c r="U474" s="9" t="s">
        <v>1840</v>
      </c>
      <c r="V474" s="9" t="s">
        <v>1838</v>
      </c>
      <c r="W474" s="9" t="s">
        <v>1838</v>
      </c>
      <c r="X474" s="9" t="s">
        <v>1838</v>
      </c>
      <c r="Y474" s="9" t="s">
        <v>1841</v>
      </c>
      <c r="Z474">
        <v>4842179.1619999995</v>
      </c>
      <c r="AA474">
        <v>12553041.036323847</v>
      </c>
      <c r="AB474" s="9" t="s">
        <v>1850</v>
      </c>
      <c r="AC474" s="9" t="s">
        <v>1838</v>
      </c>
    </row>
    <row r="475" spans="1:29">
      <c r="A475" s="9" t="s">
        <v>1730</v>
      </c>
      <c r="B475" s="9" t="s">
        <v>87</v>
      </c>
      <c r="C475" s="9" t="s">
        <v>88</v>
      </c>
      <c r="D475" s="9" t="s">
        <v>97</v>
      </c>
      <c r="E475">
        <v>2024</v>
      </c>
      <c r="F475">
        <v>2520312</v>
      </c>
      <c r="G475">
        <v>2.0500000000000001E-2</v>
      </c>
      <c r="H475">
        <v>51666.400000000001</v>
      </c>
      <c r="I475" s="9" t="s">
        <v>1731</v>
      </c>
      <c r="J475" s="9" t="s">
        <v>1732</v>
      </c>
      <c r="K475" s="9" t="s">
        <v>85</v>
      </c>
      <c r="L475">
        <v>2727043</v>
      </c>
      <c r="M475" s="8">
        <v>44741</v>
      </c>
      <c r="N475" s="9" t="s">
        <v>88</v>
      </c>
      <c r="O475">
        <v>2.0500000000000001E-2</v>
      </c>
      <c r="P475">
        <v>1</v>
      </c>
      <c r="Q475" s="9" t="s">
        <v>1821</v>
      </c>
      <c r="R475" s="9" t="s">
        <v>1838</v>
      </c>
      <c r="S475" s="9" t="s">
        <v>1839</v>
      </c>
      <c r="T475" s="9" t="s">
        <v>1838</v>
      </c>
      <c r="U475" s="9" t="s">
        <v>1840</v>
      </c>
      <c r="V475" s="9" t="s">
        <v>1838</v>
      </c>
      <c r="W475" s="9" t="s">
        <v>1838</v>
      </c>
      <c r="X475" s="9" t="s">
        <v>1838</v>
      </c>
      <c r="Y475" s="9" t="s">
        <v>1841</v>
      </c>
      <c r="Z475">
        <v>4842179.1619999995</v>
      </c>
      <c r="AA475">
        <v>12553041.036323847</v>
      </c>
      <c r="AB475" s="9" t="s">
        <v>1850</v>
      </c>
      <c r="AC475" s="9" t="s">
        <v>1838</v>
      </c>
    </row>
    <row r="476" spans="1:29">
      <c r="A476" s="9" t="s">
        <v>1733</v>
      </c>
      <c r="B476" s="9" t="s">
        <v>101</v>
      </c>
      <c r="C476" s="9" t="s">
        <v>102</v>
      </c>
      <c r="D476" s="9" t="s">
        <v>58</v>
      </c>
      <c r="E476">
        <v>2023</v>
      </c>
      <c r="F476">
        <v>2036799</v>
      </c>
      <c r="G476">
        <v>9.9000000000000008E-3</v>
      </c>
      <c r="H476">
        <v>20164.310000000001</v>
      </c>
      <c r="I476" s="9" t="s">
        <v>1734</v>
      </c>
      <c r="J476" s="9" t="s">
        <v>1735</v>
      </c>
      <c r="K476" s="9" t="s">
        <v>1516</v>
      </c>
      <c r="L476">
        <v>1835318</v>
      </c>
      <c r="M476" s="8">
        <v>45613</v>
      </c>
      <c r="N476" s="9" t="s">
        <v>102</v>
      </c>
      <c r="O476">
        <v>9.9000000000000008E-3</v>
      </c>
      <c r="P476">
        <v>1</v>
      </c>
      <c r="Q476" s="9" t="s">
        <v>1823</v>
      </c>
      <c r="R476" s="9" t="s">
        <v>1838</v>
      </c>
      <c r="S476" s="9" t="s">
        <v>1839</v>
      </c>
      <c r="T476" s="9" t="s">
        <v>1838</v>
      </c>
      <c r="U476" s="9" t="s">
        <v>1840</v>
      </c>
      <c r="V476" s="9" t="s">
        <v>1838</v>
      </c>
      <c r="W476" s="9" t="s">
        <v>1838</v>
      </c>
      <c r="X476" s="9" t="s">
        <v>1838</v>
      </c>
      <c r="Y476" s="9" t="s">
        <v>1841</v>
      </c>
      <c r="Z476">
        <v>4842179.1619999995</v>
      </c>
      <c r="AA476">
        <v>12553041.036323847</v>
      </c>
      <c r="AB476" s="9" t="s">
        <v>1850</v>
      </c>
      <c r="AC476" s="9" t="s">
        <v>1838</v>
      </c>
    </row>
    <row r="477" spans="1:29">
      <c r="A477" s="9" t="s">
        <v>1736</v>
      </c>
      <c r="B477" s="9" t="s">
        <v>69</v>
      </c>
      <c r="C477" s="9" t="s">
        <v>70</v>
      </c>
      <c r="D477" s="9" t="s">
        <v>97</v>
      </c>
      <c r="E477">
        <v>2021</v>
      </c>
      <c r="F477">
        <v>2940082</v>
      </c>
      <c r="G477">
        <v>2.06E-2</v>
      </c>
      <c r="H477">
        <v>60565.69</v>
      </c>
      <c r="I477" s="9" t="s">
        <v>1737</v>
      </c>
      <c r="J477" s="9" t="s">
        <v>1738</v>
      </c>
      <c r="K477" s="9" t="s">
        <v>608</v>
      </c>
      <c r="L477">
        <v>2693156</v>
      </c>
      <c r="M477" s="8">
        <v>44799</v>
      </c>
      <c r="N477" s="9" t="s">
        <v>70</v>
      </c>
      <c r="O477">
        <v>2.06E-2</v>
      </c>
      <c r="P477">
        <v>1</v>
      </c>
      <c r="Q477" s="9" t="s">
        <v>1821</v>
      </c>
      <c r="R477" s="9" t="s">
        <v>1838</v>
      </c>
      <c r="S477" s="9" t="s">
        <v>1839</v>
      </c>
      <c r="T477" s="9" t="s">
        <v>1838</v>
      </c>
      <c r="U477" s="9" t="s">
        <v>1840</v>
      </c>
      <c r="V477" s="9" t="s">
        <v>1838</v>
      </c>
      <c r="W477" s="9" t="s">
        <v>1838</v>
      </c>
      <c r="X477" s="9" t="s">
        <v>1838</v>
      </c>
      <c r="Y477" s="9" t="s">
        <v>1841</v>
      </c>
      <c r="Z477">
        <v>4842179.1619999995</v>
      </c>
      <c r="AA477">
        <v>12553041.036323847</v>
      </c>
      <c r="AB477" s="9" t="s">
        <v>1850</v>
      </c>
      <c r="AC477" s="9" t="s">
        <v>1838</v>
      </c>
    </row>
    <row r="478" spans="1:29">
      <c r="A478" s="9" t="s">
        <v>1739</v>
      </c>
      <c r="B478" s="9" t="s">
        <v>101</v>
      </c>
      <c r="C478" s="9" t="s">
        <v>102</v>
      </c>
      <c r="D478" s="9" t="s">
        <v>97</v>
      </c>
      <c r="E478">
        <v>2024</v>
      </c>
      <c r="F478">
        <v>2243923</v>
      </c>
      <c r="G478">
        <v>2.0899999999999998E-2</v>
      </c>
      <c r="H478">
        <v>47197.99</v>
      </c>
      <c r="I478" s="9" t="s">
        <v>1740</v>
      </c>
      <c r="J478" s="9" t="s">
        <v>1741</v>
      </c>
      <c r="K478" s="9" t="s">
        <v>688</v>
      </c>
      <c r="L478">
        <v>2635940</v>
      </c>
      <c r="M478" s="8">
        <v>45664</v>
      </c>
      <c r="N478" s="9" t="s">
        <v>102</v>
      </c>
      <c r="O478">
        <v>2.0899999999999998E-2</v>
      </c>
      <c r="P478">
        <v>1</v>
      </c>
      <c r="Q478" s="9" t="s">
        <v>1821</v>
      </c>
      <c r="R478" s="9" t="s">
        <v>1838</v>
      </c>
      <c r="S478" s="9" t="s">
        <v>1839</v>
      </c>
      <c r="T478" s="9" t="s">
        <v>1845</v>
      </c>
      <c r="U478" s="9" t="s">
        <v>1840</v>
      </c>
      <c r="V478" s="9" t="s">
        <v>1838</v>
      </c>
      <c r="W478" s="9" t="s">
        <v>1838</v>
      </c>
      <c r="X478" s="9" t="s">
        <v>1838</v>
      </c>
      <c r="Y478" s="9" t="s">
        <v>1841</v>
      </c>
      <c r="Z478">
        <v>4842179.1619999995</v>
      </c>
      <c r="AA478">
        <v>12553041.036323847</v>
      </c>
      <c r="AB478" s="9" t="s">
        <v>1850</v>
      </c>
      <c r="AC478" s="9" t="s">
        <v>1843</v>
      </c>
    </row>
    <row r="479" spans="1:29">
      <c r="A479" s="9" t="s">
        <v>1742</v>
      </c>
      <c r="B479" s="9" t="s">
        <v>56</v>
      </c>
      <c r="C479" s="9" t="s">
        <v>57</v>
      </c>
      <c r="D479" s="9" t="s">
        <v>51</v>
      </c>
      <c r="E479">
        <v>2022</v>
      </c>
      <c r="F479">
        <v>769620</v>
      </c>
      <c r="G479">
        <v>1.24E-2</v>
      </c>
      <c r="H479">
        <v>9543.2900000000009</v>
      </c>
      <c r="I479" s="9" t="s">
        <v>1743</v>
      </c>
      <c r="J479" s="9" t="s">
        <v>1744</v>
      </c>
      <c r="K479" s="9" t="s">
        <v>95</v>
      </c>
      <c r="L479">
        <v>809804</v>
      </c>
      <c r="M479" s="8">
        <v>43585</v>
      </c>
      <c r="N479" s="9" t="s">
        <v>57</v>
      </c>
      <c r="O479">
        <v>1.24E-2</v>
      </c>
      <c r="P479">
        <v>1</v>
      </c>
      <c r="Q479" s="9" t="s">
        <v>1820</v>
      </c>
      <c r="R479" s="9" t="s">
        <v>1838</v>
      </c>
      <c r="S479" s="9" t="s">
        <v>1839</v>
      </c>
      <c r="T479" s="9" t="s">
        <v>1838</v>
      </c>
      <c r="U479" s="9" t="s">
        <v>1840</v>
      </c>
      <c r="V479" s="9" t="s">
        <v>1838</v>
      </c>
      <c r="W479" s="9" t="s">
        <v>1838</v>
      </c>
      <c r="X479" s="9" t="s">
        <v>1838</v>
      </c>
      <c r="Y479" s="9" t="s">
        <v>1841</v>
      </c>
      <c r="Z479">
        <v>4842179.1619999995</v>
      </c>
      <c r="AA479">
        <v>12553041.036323847</v>
      </c>
      <c r="AB479" s="9" t="s">
        <v>1850</v>
      </c>
      <c r="AC479" s="9" t="s">
        <v>1838</v>
      </c>
    </row>
    <row r="480" spans="1:29">
      <c r="A480" s="9" t="s">
        <v>1745</v>
      </c>
      <c r="B480" s="9" t="s">
        <v>131</v>
      </c>
      <c r="C480" s="9" t="s">
        <v>132</v>
      </c>
      <c r="D480" s="9" t="s">
        <v>71</v>
      </c>
      <c r="E480">
        <v>2024</v>
      </c>
      <c r="F480">
        <v>7158110</v>
      </c>
      <c r="G480">
        <v>1.8800000000000001E-2</v>
      </c>
      <c r="H480">
        <v>134472.47</v>
      </c>
      <c r="I480" s="9" t="s">
        <v>1746</v>
      </c>
      <c r="J480" s="9" t="s">
        <v>1747</v>
      </c>
      <c r="K480" s="9" t="s">
        <v>688</v>
      </c>
      <c r="L480">
        <v>8362234</v>
      </c>
      <c r="M480" s="8">
        <v>45427</v>
      </c>
      <c r="N480" s="9" t="s">
        <v>132</v>
      </c>
      <c r="O480">
        <v>1.8800000000000001E-2</v>
      </c>
      <c r="P480">
        <v>1</v>
      </c>
      <c r="Q480" s="9" t="s">
        <v>1822</v>
      </c>
      <c r="R480" s="9" t="s">
        <v>1838</v>
      </c>
      <c r="S480" s="9" t="s">
        <v>1839</v>
      </c>
      <c r="T480" s="9" t="s">
        <v>1845</v>
      </c>
      <c r="U480" s="9" t="s">
        <v>1840</v>
      </c>
      <c r="V480" s="9" t="s">
        <v>1838</v>
      </c>
      <c r="W480" s="9" t="s">
        <v>1838</v>
      </c>
      <c r="X480" s="9" t="s">
        <v>1838</v>
      </c>
      <c r="Y480" s="9" t="s">
        <v>1841</v>
      </c>
      <c r="Z480">
        <v>4842179.1619999995</v>
      </c>
      <c r="AA480">
        <v>12553041.036323847</v>
      </c>
      <c r="AB480" s="9" t="s">
        <v>1850</v>
      </c>
      <c r="AC480" s="9" t="s">
        <v>1843</v>
      </c>
    </row>
    <row r="481" spans="1:29">
      <c r="A481" s="9" t="s">
        <v>1748</v>
      </c>
      <c r="B481" s="9" t="s">
        <v>49</v>
      </c>
      <c r="C481" s="9" t="s">
        <v>50</v>
      </c>
      <c r="D481" s="9" t="s">
        <v>71</v>
      </c>
      <c r="E481">
        <v>2024</v>
      </c>
      <c r="F481">
        <v>8997995</v>
      </c>
      <c r="G481">
        <v>1.8100000000000002E-2</v>
      </c>
      <c r="H481">
        <v>162863.71</v>
      </c>
      <c r="I481" s="9" t="s">
        <v>1749</v>
      </c>
      <c r="J481" s="9" t="s">
        <v>1168</v>
      </c>
      <c r="K481" s="9" t="s">
        <v>478</v>
      </c>
      <c r="L481">
        <v>11064859</v>
      </c>
      <c r="M481" s="8">
        <v>45370</v>
      </c>
      <c r="N481" s="9" t="s">
        <v>50</v>
      </c>
      <c r="O481">
        <v>1.8100000000000002E-2</v>
      </c>
      <c r="P481">
        <v>1</v>
      </c>
      <c r="Q481" s="9" t="s">
        <v>1822</v>
      </c>
      <c r="R481" s="9" t="s">
        <v>1838</v>
      </c>
      <c r="S481" s="9" t="s">
        <v>1839</v>
      </c>
      <c r="T481" s="9" t="s">
        <v>1838</v>
      </c>
      <c r="U481" s="9" t="s">
        <v>1840</v>
      </c>
      <c r="V481" s="9" t="s">
        <v>1842</v>
      </c>
      <c r="W481" s="9" t="s">
        <v>1838</v>
      </c>
      <c r="X481" s="9" t="s">
        <v>1838</v>
      </c>
      <c r="Y481" s="9" t="s">
        <v>1841</v>
      </c>
      <c r="Z481">
        <v>4842179.1619999995</v>
      </c>
      <c r="AA481">
        <v>12553041.036323847</v>
      </c>
      <c r="AB481" s="9" t="s">
        <v>1850</v>
      </c>
      <c r="AC481" s="9" t="s">
        <v>1843</v>
      </c>
    </row>
    <row r="482" spans="1:29">
      <c r="A482" s="9" t="s">
        <v>1750</v>
      </c>
      <c r="B482" s="9" t="s">
        <v>150</v>
      </c>
      <c r="C482" s="9" t="s">
        <v>151</v>
      </c>
      <c r="D482" s="9" t="s">
        <v>97</v>
      </c>
      <c r="E482">
        <v>2023</v>
      </c>
      <c r="F482">
        <v>4960622</v>
      </c>
      <c r="G482">
        <v>2.0299999999999999E-2</v>
      </c>
      <c r="H482">
        <v>100700.63</v>
      </c>
      <c r="I482" s="9" t="s">
        <v>1751</v>
      </c>
      <c r="J482" s="9" t="s">
        <v>1752</v>
      </c>
      <c r="K482" s="9" t="s">
        <v>547</v>
      </c>
      <c r="L482">
        <v>5150908</v>
      </c>
      <c r="M482" s="8">
        <v>44933</v>
      </c>
      <c r="N482" s="9" t="s">
        <v>151</v>
      </c>
      <c r="O482">
        <v>2.0299999999999999E-2</v>
      </c>
      <c r="P482">
        <v>1</v>
      </c>
      <c r="Q482" s="9" t="s">
        <v>1821</v>
      </c>
      <c r="R482" s="9" t="s">
        <v>1838</v>
      </c>
      <c r="S482" s="9" t="s">
        <v>1839</v>
      </c>
      <c r="T482" s="9" t="s">
        <v>1838</v>
      </c>
      <c r="U482" s="9" t="s">
        <v>1840</v>
      </c>
      <c r="V482" s="9" t="s">
        <v>1838</v>
      </c>
      <c r="W482" s="9" t="s">
        <v>1838</v>
      </c>
      <c r="X482" s="9" t="s">
        <v>1838</v>
      </c>
      <c r="Y482" s="9" t="s">
        <v>1841</v>
      </c>
      <c r="Z482">
        <v>4842179.1619999995</v>
      </c>
      <c r="AA482">
        <v>12553041.036323847</v>
      </c>
      <c r="AB482" s="9" t="s">
        <v>1850</v>
      </c>
      <c r="AC482" s="9" t="s">
        <v>1838</v>
      </c>
    </row>
    <row r="483" spans="1:29">
      <c r="A483" s="9" t="s">
        <v>1753</v>
      </c>
      <c r="B483" s="9" t="s">
        <v>101</v>
      </c>
      <c r="C483" s="9" t="s">
        <v>102</v>
      </c>
      <c r="D483" s="9" t="s">
        <v>71</v>
      </c>
      <c r="E483">
        <v>2022</v>
      </c>
      <c r="F483">
        <v>7705348</v>
      </c>
      <c r="G483">
        <v>1.89E-2</v>
      </c>
      <c r="H483">
        <v>145631.07999999999</v>
      </c>
      <c r="I483" s="9" t="s">
        <v>1754</v>
      </c>
      <c r="J483" s="9" t="s">
        <v>1755</v>
      </c>
      <c r="K483" s="9" t="s">
        <v>1756</v>
      </c>
      <c r="L483">
        <v>7267780</v>
      </c>
      <c r="M483" s="8">
        <v>45425</v>
      </c>
      <c r="N483" s="9" t="s">
        <v>102</v>
      </c>
      <c r="O483">
        <v>1.89E-2</v>
      </c>
      <c r="P483">
        <v>1</v>
      </c>
      <c r="Q483" s="9" t="s">
        <v>1822</v>
      </c>
      <c r="R483" s="9" t="s">
        <v>1838</v>
      </c>
      <c r="S483" s="9" t="s">
        <v>1839</v>
      </c>
      <c r="T483" s="9" t="s">
        <v>1838</v>
      </c>
      <c r="U483" s="9" t="s">
        <v>1840</v>
      </c>
      <c r="V483" s="9" t="s">
        <v>1838</v>
      </c>
      <c r="W483" s="9" t="s">
        <v>1838</v>
      </c>
      <c r="X483" s="9" t="s">
        <v>1838</v>
      </c>
      <c r="Y483" s="9" t="s">
        <v>1841</v>
      </c>
      <c r="Z483">
        <v>4842179.1619999995</v>
      </c>
      <c r="AA483">
        <v>12553041.036323847</v>
      </c>
      <c r="AB483" s="9" t="s">
        <v>1850</v>
      </c>
      <c r="AC483" s="9" t="s">
        <v>1838</v>
      </c>
    </row>
    <row r="484" spans="1:29">
      <c r="A484" s="9" t="s">
        <v>1757</v>
      </c>
      <c r="B484" s="9" t="s">
        <v>76</v>
      </c>
      <c r="C484" s="9" t="s">
        <v>77</v>
      </c>
      <c r="D484" s="9" t="s">
        <v>58</v>
      </c>
      <c r="E484">
        <v>2023</v>
      </c>
      <c r="F484">
        <v>2369906</v>
      </c>
      <c r="G484">
        <v>9.4000000000000004E-3</v>
      </c>
      <c r="H484">
        <v>22277.119999999999</v>
      </c>
      <c r="I484" s="9" t="s">
        <v>1758</v>
      </c>
      <c r="J484" s="9" t="s">
        <v>1759</v>
      </c>
      <c r="K484" s="9" t="s">
        <v>1760</v>
      </c>
      <c r="L484">
        <v>2587416</v>
      </c>
      <c r="M484" s="8">
        <v>44522</v>
      </c>
      <c r="N484" s="9" t="s">
        <v>77</v>
      </c>
      <c r="O484">
        <v>9.4000000000000004E-3</v>
      </c>
      <c r="P484">
        <v>1</v>
      </c>
      <c r="Q484" s="9" t="s">
        <v>1823</v>
      </c>
      <c r="R484" s="9" t="s">
        <v>1838</v>
      </c>
      <c r="S484" s="9" t="s">
        <v>1839</v>
      </c>
      <c r="T484" s="9" t="s">
        <v>1838</v>
      </c>
      <c r="U484" s="9" t="s">
        <v>1840</v>
      </c>
      <c r="V484" s="9" t="s">
        <v>1838</v>
      </c>
      <c r="W484" s="9" t="s">
        <v>1838</v>
      </c>
      <c r="X484" s="9" t="s">
        <v>1838</v>
      </c>
      <c r="Y484" s="9" t="s">
        <v>1841</v>
      </c>
      <c r="Z484">
        <v>4842179.1619999995</v>
      </c>
      <c r="AA484">
        <v>12553041.036323847</v>
      </c>
      <c r="AB484" s="9" t="s">
        <v>1850</v>
      </c>
      <c r="AC484" s="9" t="s">
        <v>1838</v>
      </c>
    </row>
    <row r="485" spans="1:29">
      <c r="A485" s="9" t="s">
        <v>1761</v>
      </c>
      <c r="B485" s="9" t="s">
        <v>69</v>
      </c>
      <c r="C485" s="9" t="s">
        <v>70</v>
      </c>
      <c r="D485" s="9" t="s">
        <v>58</v>
      </c>
      <c r="E485">
        <v>2023</v>
      </c>
      <c r="F485">
        <v>2572386</v>
      </c>
      <c r="G485">
        <v>9.5999999999999992E-3</v>
      </c>
      <c r="H485">
        <v>24694.91</v>
      </c>
      <c r="I485" s="9" t="s">
        <v>1762</v>
      </c>
      <c r="J485" s="9" t="s">
        <v>1763</v>
      </c>
      <c r="K485" s="9" t="s">
        <v>1764</v>
      </c>
      <c r="L485">
        <v>3156578</v>
      </c>
      <c r="M485" s="8">
        <v>44453</v>
      </c>
      <c r="N485" s="9" t="s">
        <v>70</v>
      </c>
      <c r="O485">
        <v>9.5999999999999992E-3</v>
      </c>
      <c r="P485">
        <v>1</v>
      </c>
      <c r="Q485" s="9" t="s">
        <v>1823</v>
      </c>
      <c r="R485" s="9" t="s">
        <v>1838</v>
      </c>
      <c r="S485" s="9" t="s">
        <v>1839</v>
      </c>
      <c r="T485" s="9" t="s">
        <v>1838</v>
      </c>
      <c r="U485" s="9" t="s">
        <v>1840</v>
      </c>
      <c r="V485" s="9" t="s">
        <v>1838</v>
      </c>
      <c r="W485" s="9" t="s">
        <v>1838</v>
      </c>
      <c r="X485" s="9" t="s">
        <v>1838</v>
      </c>
      <c r="Y485" s="9" t="s">
        <v>1841</v>
      </c>
      <c r="Z485">
        <v>4842179.1619999995</v>
      </c>
      <c r="AA485">
        <v>12553041.036323847</v>
      </c>
      <c r="AB485" s="9" t="s">
        <v>1850</v>
      </c>
      <c r="AC485" s="9" t="s">
        <v>1838</v>
      </c>
    </row>
    <row r="486" spans="1:29">
      <c r="A486" s="9" t="s">
        <v>1767</v>
      </c>
      <c r="B486" s="9" t="s">
        <v>101</v>
      </c>
      <c r="C486" s="9" t="s">
        <v>88</v>
      </c>
      <c r="D486" s="9" t="s">
        <v>97</v>
      </c>
      <c r="E486">
        <v>2021</v>
      </c>
      <c r="F486">
        <v>1359166</v>
      </c>
      <c r="G486">
        <v>2.0899999999999998E-2</v>
      </c>
      <c r="H486">
        <v>28406.57</v>
      </c>
      <c r="I486" s="9" t="s">
        <v>1768</v>
      </c>
      <c r="J486" s="9" t="s">
        <v>1769</v>
      </c>
      <c r="K486" s="9" t="s">
        <v>906</v>
      </c>
      <c r="L486">
        <v>1506845</v>
      </c>
      <c r="M486" s="8">
        <v>44172</v>
      </c>
      <c r="N486" s="9" t="s">
        <v>102</v>
      </c>
      <c r="O486">
        <v>2.0899999999999998E-2</v>
      </c>
      <c r="P486">
        <v>1</v>
      </c>
      <c r="Q486" s="9" t="s">
        <v>1821</v>
      </c>
      <c r="R486" s="9" t="s">
        <v>1838</v>
      </c>
      <c r="S486" s="9" t="s">
        <v>1845</v>
      </c>
      <c r="T486" s="9" t="s">
        <v>1838</v>
      </c>
      <c r="U486" s="9" t="s">
        <v>1840</v>
      </c>
      <c r="V486" s="9" t="s">
        <v>1838</v>
      </c>
      <c r="W486" s="9" t="s">
        <v>1838</v>
      </c>
      <c r="X486" s="9" t="s">
        <v>1838</v>
      </c>
      <c r="Y486" s="9" t="s">
        <v>1841</v>
      </c>
      <c r="Z486">
        <v>4842179.1619999995</v>
      </c>
      <c r="AA486">
        <v>12553041.036323847</v>
      </c>
      <c r="AB486" s="9" t="s">
        <v>1850</v>
      </c>
      <c r="AC486" s="9" t="s">
        <v>1843</v>
      </c>
    </row>
    <row r="487" spans="1:29">
      <c r="A487" s="9" t="s">
        <v>1770</v>
      </c>
      <c r="B487" s="9" t="s">
        <v>69</v>
      </c>
      <c r="C487" s="9" t="s">
        <v>70</v>
      </c>
      <c r="D487" s="9" t="s">
        <v>51</v>
      </c>
      <c r="E487">
        <v>2024</v>
      </c>
      <c r="F487">
        <v>1121122</v>
      </c>
      <c r="G487">
        <v>1.26E-2</v>
      </c>
      <c r="H487">
        <v>14126.14</v>
      </c>
      <c r="I487" s="9" t="s">
        <v>1771</v>
      </c>
      <c r="J487" s="9" t="s">
        <v>1772</v>
      </c>
      <c r="K487" s="9" t="s">
        <v>1773</v>
      </c>
      <c r="L487">
        <v>1018045</v>
      </c>
      <c r="M487" s="8">
        <v>45370</v>
      </c>
      <c r="N487" s="9" t="s">
        <v>70</v>
      </c>
      <c r="O487">
        <v>1.26E-2</v>
      </c>
      <c r="P487">
        <v>1</v>
      </c>
      <c r="Q487" s="9" t="s">
        <v>1820</v>
      </c>
      <c r="R487" s="9" t="s">
        <v>1838</v>
      </c>
      <c r="S487" s="9" t="s">
        <v>1839</v>
      </c>
      <c r="T487" s="9" t="s">
        <v>1838</v>
      </c>
      <c r="U487" s="9" t="s">
        <v>1840</v>
      </c>
      <c r="V487" s="9" t="s">
        <v>1838</v>
      </c>
      <c r="W487" s="9" t="s">
        <v>1838</v>
      </c>
      <c r="X487" s="9" t="s">
        <v>1838</v>
      </c>
      <c r="Y487" s="9" t="s">
        <v>1841</v>
      </c>
      <c r="Z487">
        <v>4842179.1619999995</v>
      </c>
      <c r="AA487">
        <v>12553041.036323847</v>
      </c>
      <c r="AB487" s="9" t="s">
        <v>1850</v>
      </c>
      <c r="AC487" s="9" t="s">
        <v>1838</v>
      </c>
    </row>
    <row r="488" spans="1:29">
      <c r="A488" s="9" t="s">
        <v>1774</v>
      </c>
      <c r="B488" s="9" t="s">
        <v>87</v>
      </c>
      <c r="C488" s="9" t="s">
        <v>88</v>
      </c>
      <c r="D488" s="9" t="s">
        <v>58</v>
      </c>
      <c r="E488">
        <v>2023</v>
      </c>
      <c r="F488">
        <v>2332739</v>
      </c>
      <c r="G488">
        <v>9.4999999999999998E-3</v>
      </c>
      <c r="H488">
        <v>22161.02</v>
      </c>
      <c r="I488" s="9" t="s">
        <v>1775</v>
      </c>
      <c r="J488" s="9" t="s">
        <v>1776</v>
      </c>
      <c r="K488" s="9" t="s">
        <v>162</v>
      </c>
      <c r="L488">
        <v>2430401</v>
      </c>
      <c r="M488" s="8">
        <v>45266</v>
      </c>
      <c r="N488" s="9" t="s">
        <v>88</v>
      </c>
      <c r="O488">
        <v>9.4999999999999998E-3</v>
      </c>
      <c r="P488">
        <v>1</v>
      </c>
      <c r="Q488" s="9" t="s">
        <v>1823</v>
      </c>
      <c r="R488" s="9" t="s">
        <v>1838</v>
      </c>
      <c r="S488" s="9" t="s">
        <v>1839</v>
      </c>
      <c r="T488" s="9" t="s">
        <v>1838</v>
      </c>
      <c r="U488" s="9" t="s">
        <v>1840</v>
      </c>
      <c r="V488" s="9" t="s">
        <v>1838</v>
      </c>
      <c r="W488" s="9" t="s">
        <v>1838</v>
      </c>
      <c r="X488" s="9" t="s">
        <v>1838</v>
      </c>
      <c r="Y488" s="9" t="s">
        <v>1841</v>
      </c>
      <c r="Z488">
        <v>4842179.1619999995</v>
      </c>
      <c r="AA488">
        <v>12553041.036323847</v>
      </c>
      <c r="AB488" s="9" t="s">
        <v>1850</v>
      </c>
      <c r="AC488" s="9" t="s">
        <v>1838</v>
      </c>
    </row>
    <row r="489" spans="1:29">
      <c r="A489" s="9" t="s">
        <v>1777</v>
      </c>
      <c r="B489" s="9" t="s">
        <v>602</v>
      </c>
      <c r="C489" s="9" t="s">
        <v>50</v>
      </c>
      <c r="D489" s="9" t="s">
        <v>58</v>
      </c>
      <c r="E489">
        <v>2024</v>
      </c>
      <c r="F489">
        <v>641153</v>
      </c>
      <c r="G489">
        <v>9.4999999999999998E-3</v>
      </c>
      <c r="H489">
        <v>6090.95</v>
      </c>
      <c r="I489" s="9" t="s">
        <v>1778</v>
      </c>
      <c r="J489" s="9" t="s">
        <v>1779</v>
      </c>
      <c r="K489" s="9" t="s">
        <v>1780</v>
      </c>
      <c r="L489">
        <v>605944</v>
      </c>
      <c r="M489" s="8">
        <v>44619</v>
      </c>
      <c r="N489" s="9"/>
      <c r="P489">
        <v>1</v>
      </c>
      <c r="Q489" s="9" t="s">
        <v>1823</v>
      </c>
      <c r="R489" s="9" t="s">
        <v>1842</v>
      </c>
      <c r="S489" s="9" t="s">
        <v>1845</v>
      </c>
      <c r="T489" s="9" t="s">
        <v>1845</v>
      </c>
      <c r="U489" s="9" t="s">
        <v>1840</v>
      </c>
      <c r="V489" s="9" t="s">
        <v>1838</v>
      </c>
      <c r="W489" s="9" t="s">
        <v>1838</v>
      </c>
      <c r="X489" s="9" t="s">
        <v>1838</v>
      </c>
      <c r="Y489" s="9" t="s">
        <v>1841</v>
      </c>
      <c r="Z489">
        <v>4842179.1619999995</v>
      </c>
      <c r="AA489">
        <v>12553041.036323847</v>
      </c>
      <c r="AB489" s="9" t="s">
        <v>1850</v>
      </c>
      <c r="AC489" s="9" t="s">
        <v>1843</v>
      </c>
    </row>
    <row r="490" spans="1:29">
      <c r="A490" s="9" t="s">
        <v>1781</v>
      </c>
      <c r="B490" s="9" t="s">
        <v>131</v>
      </c>
      <c r="C490" s="9" t="s">
        <v>132</v>
      </c>
      <c r="D490" s="9" t="s">
        <v>51</v>
      </c>
      <c r="E490">
        <v>2023</v>
      </c>
      <c r="F490">
        <v>1102716</v>
      </c>
      <c r="G490">
        <v>1.2800000000000001E-2</v>
      </c>
      <c r="H490">
        <v>14114.76</v>
      </c>
      <c r="I490" s="9" t="s">
        <v>1782</v>
      </c>
      <c r="J490" s="9" t="s">
        <v>1783</v>
      </c>
      <c r="K490" s="9" t="s">
        <v>1208</v>
      </c>
      <c r="L490">
        <v>1294567</v>
      </c>
      <c r="M490" s="8">
        <v>45180</v>
      </c>
      <c r="N490" s="9" t="s">
        <v>132</v>
      </c>
      <c r="O490">
        <v>1.2800000000000001E-2</v>
      </c>
      <c r="P490">
        <v>1</v>
      </c>
      <c r="Q490" s="9" t="s">
        <v>1820</v>
      </c>
      <c r="R490" s="9" t="s">
        <v>1838</v>
      </c>
      <c r="S490" s="9" t="s">
        <v>1839</v>
      </c>
      <c r="T490" s="9" t="s">
        <v>1838</v>
      </c>
      <c r="U490" s="9" t="s">
        <v>1840</v>
      </c>
      <c r="V490" s="9" t="s">
        <v>1838</v>
      </c>
      <c r="W490" s="9" t="s">
        <v>1838</v>
      </c>
      <c r="X490" s="9" t="s">
        <v>1838</v>
      </c>
      <c r="Y490" s="9" t="s">
        <v>1841</v>
      </c>
      <c r="Z490">
        <v>4842179.1619999995</v>
      </c>
      <c r="AA490">
        <v>12553041.036323847</v>
      </c>
      <c r="AB490" s="9" t="s">
        <v>1850</v>
      </c>
      <c r="AC490" s="9" t="s">
        <v>1838</v>
      </c>
    </row>
    <row r="491" spans="1:29">
      <c r="A491" s="9" t="s">
        <v>1784</v>
      </c>
      <c r="B491" s="9" t="s">
        <v>56</v>
      </c>
      <c r="C491" s="9" t="s">
        <v>57</v>
      </c>
      <c r="D491" s="9" t="s">
        <v>58</v>
      </c>
      <c r="E491">
        <v>2022</v>
      </c>
      <c r="F491">
        <v>1953231</v>
      </c>
      <c r="G491">
        <v>9.4000000000000004E-3</v>
      </c>
      <c r="H491">
        <v>18360.37</v>
      </c>
      <c r="I491" s="9" t="s">
        <v>1785</v>
      </c>
      <c r="J491" s="9" t="s">
        <v>1786</v>
      </c>
      <c r="K491" s="9" t="s">
        <v>1787</v>
      </c>
      <c r="L491">
        <v>2327118</v>
      </c>
      <c r="M491" s="8">
        <v>44015</v>
      </c>
      <c r="N491" s="9" t="s">
        <v>57</v>
      </c>
      <c r="O491">
        <v>9.4000000000000004E-3</v>
      </c>
      <c r="P491">
        <v>1</v>
      </c>
      <c r="Q491" s="9" t="s">
        <v>1823</v>
      </c>
      <c r="R491" s="9" t="s">
        <v>1838</v>
      </c>
      <c r="S491" s="9" t="s">
        <v>1839</v>
      </c>
      <c r="T491" s="9" t="s">
        <v>1838</v>
      </c>
      <c r="U491" s="9" t="s">
        <v>1840</v>
      </c>
      <c r="V491" s="9" t="s">
        <v>1838</v>
      </c>
      <c r="W491" s="9" t="s">
        <v>1838</v>
      </c>
      <c r="X491" s="9" t="s">
        <v>1838</v>
      </c>
      <c r="Y491" s="9" t="s">
        <v>1841</v>
      </c>
      <c r="Z491">
        <v>4842179.1619999995</v>
      </c>
      <c r="AA491">
        <v>12553041.036323847</v>
      </c>
      <c r="AB491" s="9" t="s">
        <v>1850</v>
      </c>
      <c r="AC491" s="9" t="s">
        <v>1838</v>
      </c>
    </row>
    <row r="492" spans="1:29">
      <c r="A492" s="9" t="s">
        <v>1788</v>
      </c>
      <c r="B492" s="9" t="s">
        <v>87</v>
      </c>
      <c r="C492" s="9" t="s">
        <v>88</v>
      </c>
      <c r="D492" s="9" t="s">
        <v>82</v>
      </c>
      <c r="E492">
        <v>2022</v>
      </c>
      <c r="F492">
        <v>8127934</v>
      </c>
      <c r="G492">
        <v>1.4800000000000001E-2</v>
      </c>
      <c r="H492">
        <v>120293.42</v>
      </c>
      <c r="I492" s="9" t="s">
        <v>1789</v>
      </c>
      <c r="J492" s="9" t="s">
        <v>1790</v>
      </c>
      <c r="K492" s="9" t="s">
        <v>80</v>
      </c>
      <c r="L492">
        <v>9989798</v>
      </c>
      <c r="M492" s="8">
        <v>44052</v>
      </c>
      <c r="N492" s="9" t="s">
        <v>88</v>
      </c>
      <c r="O492">
        <v>1.4800000000000001E-2</v>
      </c>
      <c r="P492">
        <v>1</v>
      </c>
      <c r="Q492" s="9" t="s">
        <v>1824</v>
      </c>
      <c r="R492" s="9" t="s">
        <v>1838</v>
      </c>
      <c r="S492" s="9" t="s">
        <v>1839</v>
      </c>
      <c r="T492" s="9" t="s">
        <v>1838</v>
      </c>
      <c r="U492" s="9" t="s">
        <v>1840</v>
      </c>
      <c r="V492" s="9" t="s">
        <v>1838</v>
      </c>
      <c r="W492" s="9" t="s">
        <v>1838</v>
      </c>
      <c r="X492" s="9" t="s">
        <v>1838</v>
      </c>
      <c r="Y492" s="9" t="s">
        <v>1841</v>
      </c>
      <c r="Z492">
        <v>4842179.1619999995</v>
      </c>
      <c r="AA492">
        <v>12553041.036323847</v>
      </c>
      <c r="AB492" s="9" t="s">
        <v>1850</v>
      </c>
      <c r="AC492" s="9" t="s">
        <v>1838</v>
      </c>
    </row>
    <row r="493" spans="1:29">
      <c r="A493" s="9" t="s">
        <v>1791</v>
      </c>
      <c r="B493" s="9" t="s">
        <v>56</v>
      </c>
      <c r="C493" s="9" t="s">
        <v>57</v>
      </c>
      <c r="D493" s="9" t="s">
        <v>97</v>
      </c>
      <c r="E493">
        <v>2021</v>
      </c>
      <c r="F493">
        <v>3048296</v>
      </c>
      <c r="G493">
        <v>2.0400000000000001E-2</v>
      </c>
      <c r="H493">
        <v>62185.24</v>
      </c>
      <c r="I493" s="9" t="s">
        <v>1792</v>
      </c>
      <c r="J493" s="9" t="s">
        <v>1793</v>
      </c>
      <c r="K493" s="9" t="s">
        <v>1794</v>
      </c>
      <c r="L493">
        <v>2771110</v>
      </c>
      <c r="M493" s="8">
        <v>44479</v>
      </c>
      <c r="N493" s="9" t="s">
        <v>57</v>
      </c>
      <c r="O493">
        <v>2.0400000000000001E-2</v>
      </c>
      <c r="P493">
        <v>1</v>
      </c>
      <c r="Q493" s="9" t="s">
        <v>1821</v>
      </c>
      <c r="R493" s="9" t="s">
        <v>1838</v>
      </c>
      <c r="S493" s="9" t="s">
        <v>1839</v>
      </c>
      <c r="T493" s="9" t="s">
        <v>1838</v>
      </c>
      <c r="U493" s="9" t="s">
        <v>1840</v>
      </c>
      <c r="V493" s="9" t="s">
        <v>1838</v>
      </c>
      <c r="W493" s="9" t="s">
        <v>1838</v>
      </c>
      <c r="X493" s="9" t="s">
        <v>1838</v>
      </c>
      <c r="Y493" s="9" t="s">
        <v>1841</v>
      </c>
      <c r="Z493">
        <v>4842179.1619999995</v>
      </c>
      <c r="AA493">
        <v>12553041.036323847</v>
      </c>
      <c r="AB493" s="9" t="s">
        <v>1850</v>
      </c>
      <c r="AC493" s="9" t="s">
        <v>1838</v>
      </c>
    </row>
    <row r="494" spans="1:29">
      <c r="A494" s="9" t="s">
        <v>1795</v>
      </c>
      <c r="B494" s="9" t="s">
        <v>49</v>
      </c>
      <c r="C494" s="9" t="s">
        <v>50</v>
      </c>
      <c r="D494" s="9" t="s">
        <v>71</v>
      </c>
      <c r="E494">
        <v>2021</v>
      </c>
      <c r="F494">
        <v>5144133</v>
      </c>
      <c r="G494">
        <v>1.8100000000000002E-2</v>
      </c>
      <c r="H494">
        <v>93108.81</v>
      </c>
      <c r="I494" s="9" t="s">
        <v>1796</v>
      </c>
      <c r="J494" s="9" t="s">
        <v>1797</v>
      </c>
      <c r="K494" s="9" t="s">
        <v>326</v>
      </c>
      <c r="L494">
        <v>6393230</v>
      </c>
      <c r="M494" s="8">
        <v>44376</v>
      </c>
      <c r="N494" s="9" t="s">
        <v>50</v>
      </c>
      <c r="O494">
        <v>1.8100000000000002E-2</v>
      </c>
      <c r="P494">
        <v>1</v>
      </c>
      <c r="Q494" s="9" t="s">
        <v>1822</v>
      </c>
      <c r="R494" s="9" t="s">
        <v>1838</v>
      </c>
      <c r="S494" s="9" t="s">
        <v>1839</v>
      </c>
      <c r="T494" s="9" t="s">
        <v>1838</v>
      </c>
      <c r="U494" s="9" t="s">
        <v>1840</v>
      </c>
      <c r="V494" s="9" t="s">
        <v>1838</v>
      </c>
      <c r="W494" s="9" t="s">
        <v>1838</v>
      </c>
      <c r="X494" s="9" t="s">
        <v>1838</v>
      </c>
      <c r="Y494" s="9" t="s">
        <v>1841</v>
      </c>
      <c r="Z494">
        <v>4842179.1619999995</v>
      </c>
      <c r="AA494">
        <v>12553041.036323847</v>
      </c>
      <c r="AB494" s="9" t="s">
        <v>1850</v>
      </c>
      <c r="AC494" s="9" t="s">
        <v>1838</v>
      </c>
    </row>
    <row r="495" spans="1:29">
      <c r="A495" s="9" t="s">
        <v>1798</v>
      </c>
      <c r="B495" s="9" t="s">
        <v>69</v>
      </c>
      <c r="C495" s="9" t="s">
        <v>70</v>
      </c>
      <c r="D495" s="9" t="s">
        <v>51</v>
      </c>
      <c r="E495">
        <v>2021</v>
      </c>
      <c r="F495">
        <v>546421</v>
      </c>
      <c r="G495">
        <v>1.26E-2</v>
      </c>
      <c r="H495">
        <v>6884.9</v>
      </c>
      <c r="I495" s="9" t="s">
        <v>1799</v>
      </c>
      <c r="J495" s="9" t="s">
        <v>1800</v>
      </c>
      <c r="K495" s="9" t="s">
        <v>769</v>
      </c>
      <c r="L495">
        <v>557792</v>
      </c>
      <c r="M495" s="8">
        <v>45643</v>
      </c>
      <c r="N495" s="9" t="s">
        <v>70</v>
      </c>
      <c r="O495">
        <v>1.26E-2</v>
      </c>
      <c r="P495">
        <v>1</v>
      </c>
      <c r="Q495" s="9" t="s">
        <v>1820</v>
      </c>
      <c r="R495" s="9" t="s">
        <v>1838</v>
      </c>
      <c r="S495" s="9" t="s">
        <v>1839</v>
      </c>
      <c r="T495" s="9" t="s">
        <v>1838</v>
      </c>
      <c r="U495" s="9" t="s">
        <v>1840</v>
      </c>
      <c r="V495" s="9" t="s">
        <v>1838</v>
      </c>
      <c r="W495" s="9" t="s">
        <v>1838</v>
      </c>
      <c r="X495" s="9" t="s">
        <v>1838</v>
      </c>
      <c r="Y495" s="9" t="s">
        <v>1841</v>
      </c>
      <c r="Z495">
        <v>4842179.1619999995</v>
      </c>
      <c r="AA495">
        <v>12553041.036323847</v>
      </c>
      <c r="AB495" s="9" t="s">
        <v>1850</v>
      </c>
      <c r="AC495" s="9" t="s">
        <v>1838</v>
      </c>
    </row>
    <row r="496" spans="1:29">
      <c r="A496" s="9" t="s">
        <v>1801</v>
      </c>
      <c r="B496" s="9" t="s">
        <v>56</v>
      </c>
      <c r="C496" s="9" t="s">
        <v>57</v>
      </c>
      <c r="D496" s="9" t="s">
        <v>82</v>
      </c>
      <c r="E496">
        <v>2024</v>
      </c>
      <c r="F496">
        <v>6824402</v>
      </c>
      <c r="G496">
        <v>1.47E-2</v>
      </c>
      <c r="H496">
        <v>100318.71</v>
      </c>
      <c r="I496" s="9" t="s">
        <v>1802</v>
      </c>
      <c r="J496" s="9" t="s">
        <v>1803</v>
      </c>
      <c r="K496" s="9" t="s">
        <v>99</v>
      </c>
      <c r="L496">
        <v>7831860</v>
      </c>
      <c r="M496" s="8">
        <v>44707</v>
      </c>
      <c r="N496" s="9" t="s">
        <v>57</v>
      </c>
      <c r="O496">
        <v>1.47E-2</v>
      </c>
      <c r="P496">
        <v>1</v>
      </c>
      <c r="Q496" s="9" t="s">
        <v>1824</v>
      </c>
      <c r="R496" s="9" t="s">
        <v>1838</v>
      </c>
      <c r="S496" s="9" t="s">
        <v>1839</v>
      </c>
      <c r="T496" s="9" t="s">
        <v>1838</v>
      </c>
      <c r="U496" s="9" t="s">
        <v>1840</v>
      </c>
      <c r="V496" s="9" t="s">
        <v>1838</v>
      </c>
      <c r="W496" s="9" t="s">
        <v>1838</v>
      </c>
      <c r="X496" s="9" t="s">
        <v>1838</v>
      </c>
      <c r="Y496" s="9" t="s">
        <v>1841</v>
      </c>
      <c r="Z496">
        <v>4842179.1619999995</v>
      </c>
      <c r="AA496">
        <v>12553041.036323847</v>
      </c>
      <c r="AB496" s="9" t="s">
        <v>1850</v>
      </c>
      <c r="AC496" s="9" t="s">
        <v>1838</v>
      </c>
    </row>
    <row r="497" spans="1:29">
      <c r="A497" s="9" t="s">
        <v>1804</v>
      </c>
      <c r="B497" s="9" t="s">
        <v>87</v>
      </c>
      <c r="C497" s="9" t="s">
        <v>88</v>
      </c>
      <c r="D497" s="9" t="s">
        <v>58</v>
      </c>
      <c r="E497">
        <v>2024</v>
      </c>
      <c r="F497">
        <v>960521</v>
      </c>
      <c r="G497">
        <v>9.4999999999999998E-3</v>
      </c>
      <c r="H497">
        <v>9124.9500000000007</v>
      </c>
      <c r="I497" s="9" t="s">
        <v>1805</v>
      </c>
      <c r="J497" s="9" t="s">
        <v>1806</v>
      </c>
      <c r="K497" s="9" t="s">
        <v>1260</v>
      </c>
      <c r="L497">
        <v>894773</v>
      </c>
      <c r="M497" s="8">
        <v>44359</v>
      </c>
      <c r="N497" s="9" t="s">
        <v>88</v>
      </c>
      <c r="O497">
        <v>9.4999999999999998E-3</v>
      </c>
      <c r="P497">
        <v>1</v>
      </c>
      <c r="Q497" s="9" t="s">
        <v>1823</v>
      </c>
      <c r="R497" s="9" t="s">
        <v>1838</v>
      </c>
      <c r="S497" s="9" t="s">
        <v>1839</v>
      </c>
      <c r="T497" s="9" t="s">
        <v>1838</v>
      </c>
      <c r="U497" s="9" t="s">
        <v>1840</v>
      </c>
      <c r="V497" s="9" t="s">
        <v>1838</v>
      </c>
      <c r="W497" s="9" t="s">
        <v>1838</v>
      </c>
      <c r="X497" s="9" t="s">
        <v>1838</v>
      </c>
      <c r="Y497" s="9" t="s">
        <v>1841</v>
      </c>
      <c r="Z497">
        <v>4842179.1619999995</v>
      </c>
      <c r="AA497">
        <v>12553041.036323847</v>
      </c>
      <c r="AB497" s="9" t="s">
        <v>1850</v>
      </c>
      <c r="AC497" s="9" t="s">
        <v>1838</v>
      </c>
    </row>
    <row r="498" spans="1:29">
      <c r="A498" s="9" t="s">
        <v>1807</v>
      </c>
      <c r="B498" s="9" t="s">
        <v>49</v>
      </c>
      <c r="C498" s="9" t="s">
        <v>50</v>
      </c>
      <c r="D498" s="9" t="s">
        <v>97</v>
      </c>
      <c r="E498">
        <v>2021</v>
      </c>
      <c r="F498">
        <v>1537755</v>
      </c>
      <c r="G498">
        <v>2.01E-2</v>
      </c>
      <c r="H498">
        <v>30908.880000000001</v>
      </c>
      <c r="I498" s="9" t="s">
        <v>1808</v>
      </c>
      <c r="J498" s="9" t="s">
        <v>1809</v>
      </c>
      <c r="K498" s="9" t="s">
        <v>1105</v>
      </c>
      <c r="L498">
        <v>1451090</v>
      </c>
      <c r="M498" s="8">
        <v>43522</v>
      </c>
      <c r="N498" s="9" t="s">
        <v>50</v>
      </c>
      <c r="O498">
        <v>2.01E-2</v>
      </c>
      <c r="P498">
        <v>1</v>
      </c>
      <c r="Q498" s="9" t="s">
        <v>1821</v>
      </c>
      <c r="R498" s="9" t="s">
        <v>1838</v>
      </c>
      <c r="S498" s="9" t="s">
        <v>1839</v>
      </c>
      <c r="T498" s="9" t="s">
        <v>1838</v>
      </c>
      <c r="U498" s="9" t="s">
        <v>1840</v>
      </c>
      <c r="V498" s="9" t="s">
        <v>1838</v>
      </c>
      <c r="W498" s="9" t="s">
        <v>1838</v>
      </c>
      <c r="X498" s="9" t="s">
        <v>1838</v>
      </c>
      <c r="Y498" s="9" t="s">
        <v>1841</v>
      </c>
      <c r="Z498">
        <v>4842179.1619999995</v>
      </c>
      <c r="AA498">
        <v>12553041.036323847</v>
      </c>
      <c r="AB498" s="9" t="s">
        <v>1850</v>
      </c>
      <c r="AC498" s="9" t="s">
        <v>1838</v>
      </c>
    </row>
    <row r="499" spans="1:29">
      <c r="A499" s="9" t="s">
        <v>1810</v>
      </c>
      <c r="B499" s="9" t="s">
        <v>87</v>
      </c>
      <c r="C499" s="9" t="s">
        <v>88</v>
      </c>
      <c r="D499" s="9" t="s">
        <v>97</v>
      </c>
      <c r="E499">
        <v>2021</v>
      </c>
      <c r="F499">
        <v>3407134</v>
      </c>
      <c r="G499">
        <v>2.0500000000000001E-2</v>
      </c>
      <c r="H499">
        <v>69846.25</v>
      </c>
      <c r="I499" s="9" t="s">
        <v>1811</v>
      </c>
      <c r="J499" s="9" t="s">
        <v>1812</v>
      </c>
      <c r="K499" s="9" t="s">
        <v>1208</v>
      </c>
      <c r="L499">
        <v>3334814</v>
      </c>
      <c r="M499" s="8">
        <v>43773</v>
      </c>
      <c r="N499" s="9" t="s">
        <v>88</v>
      </c>
      <c r="O499">
        <v>2.0500000000000001E-2</v>
      </c>
      <c r="P499">
        <v>1</v>
      </c>
      <c r="Q499" s="9" t="s">
        <v>1821</v>
      </c>
      <c r="R499" s="9" t="s">
        <v>1838</v>
      </c>
      <c r="S499" s="9" t="s">
        <v>1839</v>
      </c>
      <c r="T499" s="9" t="s">
        <v>1838</v>
      </c>
      <c r="U499" s="9" t="s">
        <v>1840</v>
      </c>
      <c r="V499" s="9" t="s">
        <v>1838</v>
      </c>
      <c r="W499" s="9" t="s">
        <v>1838</v>
      </c>
      <c r="X499" s="9" t="s">
        <v>1838</v>
      </c>
      <c r="Y499" s="9" t="s">
        <v>1841</v>
      </c>
      <c r="Z499">
        <v>4842179.1619999995</v>
      </c>
      <c r="AA499">
        <v>12553041.036323847</v>
      </c>
      <c r="AB499" s="9" t="s">
        <v>1850</v>
      </c>
      <c r="AC499" s="9" t="s">
        <v>1838</v>
      </c>
    </row>
    <row r="500" spans="1:29">
      <c r="A500" s="9" t="s">
        <v>1813</v>
      </c>
      <c r="B500" s="9" t="s">
        <v>150</v>
      </c>
      <c r="C500" s="9" t="s">
        <v>151</v>
      </c>
      <c r="D500" s="9" t="s">
        <v>97</v>
      </c>
      <c r="E500">
        <v>2023</v>
      </c>
      <c r="F500">
        <v>4942841</v>
      </c>
      <c r="G500">
        <v>2.0299999999999999E-2</v>
      </c>
      <c r="H500">
        <v>100339.67</v>
      </c>
      <c r="I500" s="9" t="s">
        <v>1814</v>
      </c>
      <c r="J500" s="9" t="s">
        <v>1815</v>
      </c>
      <c r="K500" s="9" t="s">
        <v>627</v>
      </c>
      <c r="L500">
        <v>4817160</v>
      </c>
      <c r="M500" s="8">
        <v>45342</v>
      </c>
      <c r="N500" s="9" t="s">
        <v>151</v>
      </c>
      <c r="O500">
        <v>2.0299999999999999E-2</v>
      </c>
      <c r="P500">
        <v>1</v>
      </c>
      <c r="Q500" s="9" t="s">
        <v>1821</v>
      </c>
      <c r="R500" s="9" t="s">
        <v>1838</v>
      </c>
      <c r="S500" s="9" t="s">
        <v>1839</v>
      </c>
      <c r="T500" s="9" t="s">
        <v>1838</v>
      </c>
      <c r="U500" s="9" t="s">
        <v>1840</v>
      </c>
      <c r="V500" s="9" t="s">
        <v>1838</v>
      </c>
      <c r="W500" s="9" t="s">
        <v>1838</v>
      </c>
      <c r="X500" s="9" t="s">
        <v>1838</v>
      </c>
      <c r="Y500" s="9" t="s">
        <v>1841</v>
      </c>
      <c r="Z500">
        <v>4842179.1619999995</v>
      </c>
      <c r="AA500">
        <v>12553041.036323847</v>
      </c>
      <c r="AB500" s="9" t="s">
        <v>1850</v>
      </c>
      <c r="AC500" s="9" t="s">
        <v>1838</v>
      </c>
    </row>
    <row r="501" spans="1:29">
      <c r="A501" s="9" t="s">
        <v>1816</v>
      </c>
      <c r="B501" s="9" t="s">
        <v>87</v>
      </c>
      <c r="C501" s="9" t="s">
        <v>88</v>
      </c>
      <c r="D501" s="9" t="s">
        <v>58</v>
      </c>
      <c r="E501">
        <v>2022</v>
      </c>
      <c r="F501">
        <v>3413718</v>
      </c>
      <c r="G501">
        <v>9.4999999999999998E-3</v>
      </c>
      <c r="H501">
        <v>32430.32</v>
      </c>
      <c r="I501" s="9" t="s">
        <v>1817</v>
      </c>
      <c r="J501" s="9" t="s">
        <v>1818</v>
      </c>
      <c r="K501" s="9" t="s">
        <v>642</v>
      </c>
      <c r="L501">
        <v>3490194</v>
      </c>
      <c r="M501" s="8">
        <v>44228</v>
      </c>
      <c r="N501" s="9" t="s">
        <v>88</v>
      </c>
      <c r="O501">
        <v>9.4999999999999998E-3</v>
      </c>
      <c r="P501">
        <v>1</v>
      </c>
      <c r="Q501" s="9" t="s">
        <v>1823</v>
      </c>
      <c r="R501" s="9" t="s">
        <v>1838</v>
      </c>
      <c r="S501" s="9" t="s">
        <v>1839</v>
      </c>
      <c r="T501" s="9" t="s">
        <v>1838</v>
      </c>
      <c r="U501" s="9" t="s">
        <v>1840</v>
      </c>
      <c r="V501" s="9" t="s">
        <v>1838</v>
      </c>
      <c r="W501" s="9" t="s">
        <v>1838</v>
      </c>
      <c r="X501" s="9" t="s">
        <v>1838</v>
      </c>
      <c r="Y501" s="9" t="s">
        <v>1841</v>
      </c>
      <c r="Z501">
        <v>4842179.1619999995</v>
      </c>
      <c r="AA501">
        <v>12553041.036323847</v>
      </c>
      <c r="AB501" s="9" t="s">
        <v>1850</v>
      </c>
      <c r="AC501" s="9" t="s">
        <v>1838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9AA39-20F2-4C9F-B2FB-87D7E2187083}">
  <dimension ref="B20:R57"/>
  <sheetViews>
    <sheetView showGridLines="0" tabSelected="1" zoomScaleNormal="100" workbookViewId="0">
      <selection activeCell="P14" sqref="P14"/>
    </sheetView>
  </sheetViews>
  <sheetFormatPr defaultRowHeight="14.5"/>
  <cols>
    <col min="1" max="1" width="1.90625" customWidth="1"/>
    <col min="2" max="2" width="18.81640625" customWidth="1"/>
    <col min="3" max="3" width="11.54296875" customWidth="1"/>
    <col min="4" max="4" width="16" customWidth="1"/>
    <col min="5" max="5" width="13.54296875" customWidth="1"/>
    <col min="6" max="6" width="18.7265625" customWidth="1"/>
  </cols>
  <sheetData>
    <row r="20" spans="3:3">
      <c r="C20" s="10"/>
    </row>
    <row r="45" spans="2:6">
      <c r="B45" s="22" t="s">
        <v>35</v>
      </c>
      <c r="C45" s="22" t="s">
        <v>37</v>
      </c>
      <c r="D45" s="22" t="s">
        <v>38</v>
      </c>
      <c r="E45" s="22" t="s">
        <v>40</v>
      </c>
      <c r="F45" s="22" t="s">
        <v>1852</v>
      </c>
    </row>
    <row r="46" spans="2:6">
      <c r="B46" s="23" t="s">
        <v>1138</v>
      </c>
      <c r="C46" s="24" t="s">
        <v>132</v>
      </c>
      <c r="D46" s="25" t="s">
        <v>71</v>
      </c>
      <c r="E46" s="26">
        <v>10161125</v>
      </c>
      <c r="F46" s="31" t="s">
        <v>1854</v>
      </c>
    </row>
    <row r="47" spans="2:6">
      <c r="B47" s="27"/>
      <c r="C47" s="24" t="s">
        <v>50</v>
      </c>
      <c r="D47" s="25" t="s">
        <v>58</v>
      </c>
      <c r="E47" s="26">
        <v>3705140</v>
      </c>
      <c r="F47" s="31" t="s">
        <v>1854</v>
      </c>
    </row>
    <row r="48" spans="2:6">
      <c r="B48" s="28" t="s">
        <v>1261</v>
      </c>
      <c r="C48" s="24" t="s">
        <v>64</v>
      </c>
      <c r="D48" s="25" t="s">
        <v>82</v>
      </c>
      <c r="E48" s="26">
        <v>45336710</v>
      </c>
      <c r="F48" s="33" t="s">
        <v>1859</v>
      </c>
    </row>
    <row r="49" spans="2:18">
      <c r="B49" s="28" t="s">
        <v>1592</v>
      </c>
      <c r="C49" s="24" t="s">
        <v>50</v>
      </c>
      <c r="D49" s="25" t="s">
        <v>82</v>
      </c>
      <c r="E49" s="26">
        <v>185450623</v>
      </c>
      <c r="F49" s="33" t="s">
        <v>1859</v>
      </c>
    </row>
    <row r="50" spans="2:18">
      <c r="B50" s="28" t="s">
        <v>1408</v>
      </c>
      <c r="C50" s="24" t="s">
        <v>138</v>
      </c>
      <c r="D50" s="25" t="s">
        <v>71</v>
      </c>
      <c r="E50" s="26">
        <v>30046366</v>
      </c>
      <c r="F50" s="32" t="s">
        <v>1857</v>
      </c>
      <c r="R50" t="s">
        <v>1882</v>
      </c>
    </row>
    <row r="51" spans="2:18">
      <c r="B51" s="28" t="s">
        <v>163</v>
      </c>
      <c r="C51" s="29" t="s">
        <v>70</v>
      </c>
      <c r="D51" s="25" t="s">
        <v>97</v>
      </c>
      <c r="E51" s="26">
        <v>19873169</v>
      </c>
      <c r="F51" s="32" t="s">
        <v>1857</v>
      </c>
    </row>
    <row r="52" spans="2:18">
      <c r="B52" s="23" t="s">
        <v>632</v>
      </c>
      <c r="C52" s="24" t="s">
        <v>70</v>
      </c>
      <c r="D52" s="25" t="s">
        <v>82</v>
      </c>
      <c r="E52" s="26">
        <v>9462643</v>
      </c>
      <c r="F52" s="31" t="s">
        <v>1854</v>
      </c>
    </row>
    <row r="53" spans="2:18">
      <c r="B53" s="27"/>
      <c r="C53" s="24" t="s">
        <v>64</v>
      </c>
      <c r="D53" s="25" t="s">
        <v>82</v>
      </c>
      <c r="E53" s="26">
        <v>7396153</v>
      </c>
      <c r="F53" s="31" t="s">
        <v>1854</v>
      </c>
    </row>
    <row r="54" spans="2:18">
      <c r="B54" s="28" t="s">
        <v>1042</v>
      </c>
      <c r="C54" s="24" t="s">
        <v>102</v>
      </c>
      <c r="D54" s="25" t="s">
        <v>82</v>
      </c>
      <c r="E54" s="26">
        <v>135379068</v>
      </c>
      <c r="F54" s="33" t="s">
        <v>1859</v>
      </c>
    </row>
    <row r="55" spans="2:18">
      <c r="B55" s="28" t="s">
        <v>1509</v>
      </c>
      <c r="C55" s="24" t="s">
        <v>70</v>
      </c>
      <c r="D55" s="25" t="s">
        <v>58</v>
      </c>
      <c r="E55" s="26">
        <v>15704596</v>
      </c>
      <c r="F55" s="32" t="s">
        <v>1857</v>
      </c>
    </row>
    <row r="56" spans="2:18">
      <c r="B56" s="28" t="s">
        <v>541</v>
      </c>
      <c r="C56" s="24" t="s">
        <v>57</v>
      </c>
      <c r="D56" s="25" t="s">
        <v>82</v>
      </c>
      <c r="E56" s="26">
        <v>85874072</v>
      </c>
      <c r="F56" s="33" t="s">
        <v>1859</v>
      </c>
    </row>
    <row r="57" spans="2:18" ht="32.5" customHeight="1">
      <c r="B57" s="28" t="s">
        <v>807</v>
      </c>
      <c r="C57" s="24" t="s">
        <v>138</v>
      </c>
      <c r="D57" s="30" t="s">
        <v>71</v>
      </c>
      <c r="E57" s="26">
        <v>119505943</v>
      </c>
      <c r="F57" s="34" t="s">
        <v>1861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E7FEB-B023-46F3-83F4-00FEB1311B8B}">
  <dimension ref="B1:C25"/>
  <sheetViews>
    <sheetView topLeftCell="A14" workbookViewId="0">
      <selection activeCell="D35" sqref="D35"/>
    </sheetView>
  </sheetViews>
  <sheetFormatPr defaultRowHeight="14.5"/>
  <cols>
    <col min="2" max="2" width="21.54296875" customWidth="1"/>
    <col min="3" max="3" width="46.453125" customWidth="1"/>
    <col min="4" max="6" width="8.7265625" customWidth="1"/>
  </cols>
  <sheetData>
    <row r="1" spans="2:3">
      <c r="B1" s="11" t="s">
        <v>1862</v>
      </c>
      <c r="C1" s="11" t="s">
        <v>1863</v>
      </c>
    </row>
    <row r="2" spans="2:3" ht="26">
      <c r="B2" t="s">
        <v>1864</v>
      </c>
      <c r="C2" s="12" t="str">
        <f>"Total Records" &amp; CHAR(10) &amp; TEXT(ROWS(Clean_Data[#Data]),"#,##0")</f>
        <v>Total Records
500</v>
      </c>
    </row>
    <row r="3" spans="2:3" ht="26">
      <c r="B3" t="s">
        <v>1865</v>
      </c>
      <c r="C3" s="12" t="str">
        <f>"Records with Issues " &amp; TEXT(COUNTIF(Clean_Data[Overall_Status],"Issue")/ROWS(Clean_Data[#Data]), "0.0%")</f>
        <v>Records with Issues 22.2%</v>
      </c>
    </row>
    <row r="4" spans="2:3" ht="26">
      <c r="B4" t="s">
        <v>1866</v>
      </c>
      <c r="C4" s="18" t="str">
        <f>"Valid Records" &amp; CHAR(10) &amp; TEXT(COUNTIF(Clean_Data[Overall_Status],"Valid")/ROWS(Clean_Data[#Data]), "0.0%")</f>
        <v>Valid Records
77.0%</v>
      </c>
    </row>
    <row r="5" spans="2:3" ht="26">
      <c r="B5" t="s">
        <v>1867</v>
      </c>
      <c r="C5" s="12" t="str">
        <f>"Duplicate Roll Numbers " &amp; TEXT(COUNTIF(Clean_Data[Duplicate_Check],"Duplicate")/ROWS(Clean_Data[#Data]), "0.0%")</f>
        <v>Duplicate Roll Numbers 4.0%</v>
      </c>
    </row>
    <row r="6" spans="2:3" ht="26">
      <c r="B6" t="s">
        <v>1868</v>
      </c>
      <c r="C6" s="12" t="str">
        <f>"Tax Mismatches " &amp; CHAR(10) &amp; TEXT(COUNTIF(Clean_Data[Tax_Check],"Mismatch")/ROWS(Clean_Data[#Data]), "0.0%")</f>
        <v>Tax Mismatches 
9.4%</v>
      </c>
    </row>
    <row r="7" spans="2:3" ht="26">
      <c r="B7" t="s">
        <v>1871</v>
      </c>
      <c r="C7" s="12" t="str">
        <f>"Invalid Municipality Code " &amp; TEXT(COUNTIF(Clean_Data[Municipality_Code_Check],"Invalid")/ROWS(Clean_Data[#Data]), "0.0%")</f>
        <v>Invalid Municipality Code 2.4%</v>
      </c>
    </row>
    <row r="8" spans="2:3" ht="26">
      <c r="B8" t="s">
        <v>1869</v>
      </c>
      <c r="C8" s="12" t="str">
        <f>"Outliers" &amp; CHAR(10) &amp; TEXT(COUNTIF(Clean_Data[Outlier_Check],"Outlier"), "#,##0")</f>
        <v>Outliers
5</v>
      </c>
    </row>
    <row r="9" spans="2:3" ht="26">
      <c r="B9" t="s">
        <v>1870</v>
      </c>
      <c r="C9" s="12" t="str">
        <f>"Incomplete Records" &amp; CHAR(10) &amp; TEXT(COUNTIF(Clean_Data[Completeness_Check],"Incomplete"), "#,##0")</f>
        <v>Incomplete Records
0</v>
      </c>
    </row>
    <row r="16" spans="2:3">
      <c r="B16" s="15" t="s">
        <v>1875</v>
      </c>
      <c r="C16" s="15" t="s">
        <v>1878</v>
      </c>
    </row>
    <row r="17" spans="2:3" ht="29">
      <c r="B17" s="16" t="s">
        <v>1871</v>
      </c>
      <c r="C17" s="17">
        <f>COUNTIF(Clean_Data[Municipality_Code_Check],"Invalid")</f>
        <v>12</v>
      </c>
    </row>
    <row r="18" spans="2:3" ht="29">
      <c r="B18" s="16" t="s">
        <v>1856</v>
      </c>
      <c r="C18" s="17">
        <f>COUNTIF(Clean_Data[Municipality_Name_Check],"Mismatch")</f>
        <v>31</v>
      </c>
    </row>
    <row r="19" spans="2:3">
      <c r="B19" s="16" t="s">
        <v>1876</v>
      </c>
      <c r="C19" s="17">
        <f>COUNTIF(Clean_Data[Property_Class_Check],"Invalid")</f>
        <v>10</v>
      </c>
    </row>
    <row r="20" spans="2:3">
      <c r="B20" s="16" t="s">
        <v>1857</v>
      </c>
      <c r="C20" s="17">
        <f>COUNTIF(Clean_Data[Tax_Check],"Mismatch")</f>
        <v>47</v>
      </c>
    </row>
    <row r="21" spans="2:3">
      <c r="B21" s="16" t="s">
        <v>1854</v>
      </c>
      <c r="C21" s="17">
        <f>COUNTIF(Clean_Data[Duplicate_Check],"Duplicate")</f>
        <v>20</v>
      </c>
    </row>
    <row r="22" spans="2:3">
      <c r="B22" s="16" t="s">
        <v>1853</v>
      </c>
      <c r="C22" s="17">
        <f>COUNTIF(Clean_Data[Postal_Code_Check],"Invalid")</f>
        <v>13</v>
      </c>
    </row>
    <row r="23" spans="2:3">
      <c r="B23" s="16" t="s">
        <v>1855</v>
      </c>
      <c r="C23" s="17">
        <f>COUNTIF(Clean_Data[Sale_Date_Check],"Invalid")</f>
        <v>8</v>
      </c>
    </row>
    <row r="24" spans="2:3">
      <c r="B24" s="16" t="s">
        <v>1877</v>
      </c>
      <c r="C24" s="17">
        <f>COUNTIF(Clean_Data[Completeness_Check],"Incomplete")</f>
        <v>0</v>
      </c>
    </row>
    <row r="25" spans="2:3">
      <c r="B25" t="s">
        <v>1851</v>
      </c>
      <c r="C25">
        <f>COUNTIF(Clean_Data[Outlier_Check],"Outlier")</f>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CB4307-181E-4F4D-9BE8-417EDD166A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Read_Me</vt:lpstr>
      <vt:lpstr>Property_Assessment_Raw</vt:lpstr>
      <vt:lpstr>Municipality_Reference_Raw</vt:lpstr>
      <vt:lpstr>Property_Class_Reference_Raw</vt:lpstr>
      <vt:lpstr>Tax_Rate_Reference_Raw</vt:lpstr>
      <vt:lpstr>Assessed_Value_Stats </vt:lpstr>
      <vt:lpstr>Roll_Number_Count</vt:lpstr>
      <vt:lpstr>Exception</vt:lpstr>
      <vt:lpstr>Data_Quality_Issues</vt:lpstr>
      <vt:lpstr>Issue by Municip</vt:lpstr>
      <vt:lpstr>Issue by Prop</vt:lpstr>
      <vt:lpstr>Assessed Value</vt:lpstr>
      <vt:lpstr>Issue Type</vt:lpstr>
      <vt:lpstr>Clean_Data</vt:lpstr>
      <vt:lpstr>Dashboard</vt:lpstr>
      <vt:lpstr>KPI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Abodunrin Oketade</dc:creator>
  <cp:lastModifiedBy>Abodunrin Oketade</cp:lastModifiedBy>
  <dcterms:created xsi:type="dcterms:W3CDTF">2026-04-10T14:56:54Z</dcterms:created>
  <dcterms:modified xsi:type="dcterms:W3CDTF">2026-04-14T02:48:43Z</dcterms:modified>
</cp:coreProperties>
</file>